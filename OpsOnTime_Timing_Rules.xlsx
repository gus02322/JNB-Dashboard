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JNB_Check" sheetId="2" state="visible" r:id="rId2"/>
    <sheet name="Scenarios" sheetId="3" state="visible" r:id="rId3"/>
    <sheet name="Open_Qu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34" customWidth="1" min="3" max="3"/>
    <col width="40" customWidth="1" min="4" max="4"/>
  </cols>
  <sheetData>
    <row r="1">
      <c r="A1" s="1" t="inlineStr">
        <is>
          <t>Rule</t>
        </is>
      </c>
      <c r="B1" s="1" t="inlineStr">
        <is>
          <t>Plain formula</t>
        </is>
      </c>
      <c r="C1" s="1" t="inlineStr">
        <is>
          <t>Current value (RULES tab)</t>
        </is>
      </c>
      <c r="D1" s="1" t="inlineStr">
        <is>
          <t>Origin</t>
        </is>
      </c>
    </row>
    <row r="2">
      <c r="A2" s="2" t="inlineStr">
        <is>
          <t>Profile</t>
        </is>
      </c>
      <c r="B2" s="2" t="inlineStr">
        <is>
          <t>DAYSTOP if STD - STA &gt;= DAY_STOP_MIN_GROUND, else TURN. RULE_PROFILE column wins. No STA (arrives the day before): DAYSTOP</t>
        </is>
      </c>
      <c r="C2" s="2" t="inlineStr">
        <is>
          <t>DAY_STOP_MIN_GROUND = 360</t>
        </is>
      </c>
      <c r="D2" s="2" t="inlineStr">
        <is>
          <t>Operations brief (chantier 3)</t>
        </is>
      </c>
    </row>
    <row r="3">
      <c r="A3" s="2" t="inlineStr">
        <is>
          <t>Truck, TURN</t>
        </is>
      </c>
      <c r="B3" s="2" t="inlineStr">
        <is>
          <t>Truck = ETA + TURN_TRUCK_OFFSET_MIN</t>
        </is>
      </c>
      <c r="C3" s="2" t="inlineStr">
        <is>
          <t>TURN_TRUCK_OFFSET_MIN = -30</t>
        </is>
      </c>
      <c r="D3" s="2" t="inlineStr">
        <is>
          <t>Operations brief (chantier 3)</t>
        </is>
      </c>
    </row>
    <row r="4">
      <c r="A4" s="2" t="inlineStr">
        <is>
          <t>Truck, DAYSTOP</t>
        </is>
      </c>
      <c r="B4" s="2" t="inlineStr">
        <is>
          <t>Truck = ETD + DAYSTOP_TRUCK_OFFSET_MIN. A delay does not move the ETD</t>
        </is>
      </c>
      <c r="C4" s="2" t="inlineStr">
        <is>
          <t>DAYSTOP_TRUCK_OFFSET_MIN = -180</t>
        </is>
      </c>
      <c r="D4" s="2" t="inlineStr">
        <is>
          <t>Operations brief (chantier 3)</t>
        </is>
      </c>
    </row>
    <row r="5">
      <c r="A5" s="2" t="inlineStr">
        <is>
          <t>Truck, exceptions</t>
        </is>
      </c>
      <c r="B5" s="2" t="inlineStr">
        <is>
          <t>Per flight: Truck = ETA or ETD + offset. TRUCK_OFFSET column of the row wins</t>
        </is>
      </c>
      <c r="C5" s="2" t="inlineStr">
        <is>
          <t>TRUCK_EXCEPTIONS = ET848:ETD-120|UA187:ETD-150</t>
        </is>
      </c>
      <c r="D5" s="2" t="inlineStr">
        <is>
          <t>Operations brief (chantier 3)</t>
        </is>
      </c>
    </row>
    <row r="6">
      <c r="A6" s="2" t="inlineStr">
        <is>
          <t>Sealing</t>
        </is>
      </c>
      <c r="B6" s="2" t="inlineStr">
        <is>
          <t>Sealing = Truck - SEAL_TO_TRUCK_MIN (narrowbody) or SEAL_TO_TRUCK_WIDE_MIN (widebody). SEAL_TO_TRUCK column wins</t>
        </is>
      </c>
      <c r="C6" s="2" t="inlineStr">
        <is>
          <t>SEAL_TO_TRUCK_MIN = 60, SEAL_TO_TRUCK_WIDE_MIN = 120</t>
        </is>
      </c>
      <c r="D6" s="2" t="inlineStr">
        <is>
          <t>Operations brief (chantier 3)</t>
        </is>
      </c>
    </row>
    <row r="7">
      <c r="A7" s="2" t="inlineStr">
        <is>
          <t>Widebody</t>
        </is>
      </c>
      <c r="B7" s="2" t="inlineStr">
        <is>
          <t>By aircraft type when known (AUTO_AIRCRAFT matched in WIDEBODY_TYPES), otherwise by airline</t>
        </is>
      </c>
      <c r="C7" s="2" t="inlineStr">
        <is>
          <t>WIDEBODY_AIRLINES = EK,QF,LH,BA,VS,CX,DL,UA</t>
        </is>
      </c>
      <c r="D7" s="2" t="inlineStr">
        <is>
          <t>Operations brief (chantier 3)</t>
        </is>
      </c>
    </row>
    <row r="8">
      <c r="A8" s="2" t="inlineStr">
        <is>
          <t>Sealing, exceptions</t>
        </is>
      </c>
      <c r="B8" s="2" t="inlineStr">
        <is>
          <t>Per flight: Sealing = Truck - minutes</t>
        </is>
      </c>
      <c r="C8" s="2" t="inlineStr">
        <is>
          <t>SEAL_EXCEPTIONS = UU344:45</t>
        </is>
      </c>
      <c r="D8" s="2" t="inlineStr">
        <is>
          <t>Operations brief (chantier 3)</t>
        </is>
      </c>
    </row>
    <row r="9">
      <c r="A9" s="2" t="inlineStr">
        <is>
          <t>Box Time D</t>
        </is>
      </c>
      <c r="B9" s="2" t="inlineStr">
        <is>
          <t>If ETD &gt; BOX_THRESHOLD_ETD: slot on the day = Sealing + BOX_D_OFFSET_MIN</t>
        </is>
      </c>
      <c r="C9" s="2" t="inlineStr">
        <is>
          <t>BOX_THRESHOLD_ETD = 17:00, BOX_D_OFFSET_MIN = -240</t>
        </is>
      </c>
      <c r="D9" s="2" t="inlineStr">
        <is>
          <t>Config tab (existing)</t>
        </is>
      </c>
    </row>
    <row r="10">
      <c r="A10" s="2" t="inlineStr">
        <is>
          <t>Box Time D-1</t>
        </is>
      </c>
      <c r="B10" s="2" t="inlineStr">
        <is>
          <t>Else slot the day before = min(ETD + BOX_D1_OFFSET_MIN, BOX_D1_CAP); BOX_D1_LATE_SLOT if 15:00 &lt; ETD &lt;= 17:00</t>
        </is>
      </c>
      <c r="C10" s="2" t="inlineStr">
        <is>
          <t>BOX_D1_OFFSET_MIN = 120, BOX_D1_CAP = 15:00, BOX_D1_LATE_SLOT = 19:00</t>
        </is>
      </c>
      <c r="D10" s="2" t="inlineStr">
        <is>
          <t>Config tab (existing)</t>
        </is>
      </c>
    </row>
    <row r="11">
      <c r="A11" s="2" t="inlineStr">
        <is>
          <t>Box Time override</t>
        </is>
      </c>
      <c r="B11" s="2" t="inlineStr">
        <is>
          <t>BoxTime tab (UNIT, SI or FLIGHT, OVERRIDE) replaces the rule</t>
        </is>
      </c>
      <c r="C11" s="2" t="inlineStr">
        <is>
          <t>BoxTime tab, 34 rows for JNB</t>
        </is>
      </c>
      <c r="D11" s="2" t="inlineStr">
        <is>
          <t>Existing BoxTime tab</t>
        </is>
      </c>
    </row>
    <row r="12">
      <c r="A12" s="2" t="inlineStr">
        <is>
          <t>ETD estimate, TURN</t>
        </is>
      </c>
      <c r="B12" s="2" t="inlineStr">
        <is>
          <t>ETD = max(STD, live ETA + MIN_ROTATION_MIN)</t>
        </is>
      </c>
      <c r="C12" s="2" t="inlineStr">
        <is>
          <t>MIN_ROTATION_MIN = 60</t>
        </is>
      </c>
      <c r="D12" s="2" t="inlineStr">
        <is>
          <t>Config tab (existing)</t>
        </is>
      </c>
    </row>
    <row r="13">
      <c r="A13" s="2" t="inlineStr">
        <is>
          <t>Delay, TURN</t>
        </is>
      </c>
      <c r="B13" s="2" t="inlineStr">
        <is>
          <t>From RECALC_THRESHOLD_MIN of change, Truck, Sealing and Box Time D slide with the ETA. D-1 slots stay and are marked Check</t>
        </is>
      </c>
      <c r="C13" s="2" t="inlineStr">
        <is>
          <t>RECALC_THRESHOLD_MIN = 5</t>
        </is>
      </c>
      <c r="D13" s="2" t="inlineStr">
        <is>
          <t>Config tab + operations brief</t>
        </is>
      </c>
    </row>
    <row r="14">
      <c r="A14" s="2" t="inlineStr">
        <is>
          <t>Delay, DAYSTOP</t>
        </is>
      </c>
      <c r="B14" s="2" t="inlineStr">
        <is>
          <t>Nothing moves. Alert when the live ETA leaves less than DAYSTOP_MARGIN_MIN before Truck</t>
        </is>
      </c>
      <c r="C14" s="2" t="inlineStr">
        <is>
          <t>DAYSTOP_MARGIN_MIN = 60</t>
        </is>
      </c>
      <c r="D14" s="2" t="inlineStr">
        <is>
          <t>New key (proposed value, see Open_Questions)</t>
        </is>
      </c>
    </row>
    <row r="15">
      <c r="A15" s="2" t="inlineStr">
        <is>
          <t>Slot too tight</t>
        </is>
      </c>
      <c r="B15" s="2" t="inlineStr">
        <is>
          <t>Alert when a moved Sealing or Truck is less than TIGHT_SLOT_MIN from now</t>
        </is>
      </c>
      <c r="C15" s="2" t="inlineStr">
        <is>
          <t>TIGHT_SLOT_MIN = 30</t>
        </is>
      </c>
      <c r="D15" s="2" t="inlineStr">
        <is>
          <t>Config tab (existing)</t>
        </is>
      </c>
    </row>
    <row r="16">
      <c r="A16" s="2" t="inlineStr">
        <is>
          <t>Cancellation</t>
        </is>
      </c>
      <c r="B16" s="2" t="inlineStr">
        <is>
          <t>All events struck CANCELLED, alerts off, Box Time Hold production</t>
        </is>
      </c>
      <c r="C16" s="2" t="inlineStr">
        <is>
          <t>ACTIVE = CANCELLED on the row, or demo</t>
        </is>
      </c>
      <c r="D16" s="2" t="inlineStr">
        <is>
          <t>Operations brief (chantier 3)</t>
        </is>
      </c>
    </row>
    <row r="17">
      <c r="A17" s="2" t="inlineStr">
        <is>
          <t>Manual values</t>
        </is>
      </c>
      <c r="B17" s="2" t="inlineStr">
        <is>
          <t>A value typed in the unit tab always wins over the AUTO_ column and over the rule</t>
        </is>
      </c>
      <c r="C17" s="2" t="inlineStr"/>
      <c r="D17" s="2" t="inlineStr">
        <is>
          <t>Operations brief (chantier 1)</t>
        </is>
      </c>
    </row>
    <row r="18">
      <c r="A18" s="2" t="inlineStr">
        <is>
          <t>Data health gap</t>
        </is>
      </c>
      <c r="B18" s="2" t="inlineStr">
        <is>
          <t>Flag a Sheet time that differs from the rule by at least HEALTH_GAP_MIN</t>
        </is>
      </c>
      <c r="C18" s="2" t="inlineStr">
        <is>
          <t>HEALTH_GAP_MIN = 5</t>
        </is>
      </c>
      <c r="D18" s="2" t="inlineStr">
        <is>
          <t>New 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34" customWidth="1" min="17" max="17"/>
    <col width="30" customWidth="1" min="18" max="18"/>
    <col width="10" customWidth="1" min="19" max="19"/>
  </cols>
  <sheetData>
    <row r="1">
      <c r="A1" s="1" t="inlineStr">
        <is>
          <t>SI</t>
        </is>
      </c>
      <c r="B1" s="1" t="inlineStr">
        <is>
          <t>Flight</t>
        </is>
      </c>
      <c r="C1" s="1" t="inlineStr">
        <is>
          <t>Active</t>
        </is>
      </c>
      <c r="D1" s="1" t="inlineStr">
        <is>
          <t>Profile</t>
        </is>
      </c>
      <c r="E1" s="1" t="inlineStr">
        <is>
          <t>ETA</t>
        </is>
      </c>
      <c r="F1" s="1" t="inlineStr">
        <is>
          <t>ETD</t>
        </is>
      </c>
      <c r="G1" s="1" t="inlineStr">
        <is>
          <t>Truck (Sheet)</t>
        </is>
      </c>
      <c r="H1" s="1" t="inlineStr">
        <is>
          <t>Truck (rule)</t>
        </is>
      </c>
      <c r="I1" s="1" t="inlineStr">
        <is>
          <t>Truck gap (min)</t>
        </is>
      </c>
      <c r="J1" s="1" t="inlineStr">
        <is>
          <t>Sealing (Sheet)</t>
        </is>
      </c>
      <c r="K1" s="1" t="inlineStr">
        <is>
          <t>Sealing (rule)</t>
        </is>
      </c>
      <c r="L1" s="1" t="inlineStr">
        <is>
          <t>Sealing gap (min)</t>
        </is>
      </c>
      <c r="M1" s="1" t="inlineStr">
        <is>
          <t>Box day</t>
        </is>
      </c>
      <c r="N1" s="1" t="inlineStr">
        <is>
          <t>Box override</t>
        </is>
      </c>
      <c r="O1" s="1" t="inlineStr">
        <is>
          <t>Box rule</t>
        </is>
      </c>
      <c r="P1" s="1" t="inlineStr">
        <is>
          <t>Box gap (min)</t>
        </is>
      </c>
      <c r="Q1" s="1" t="inlineStr">
        <is>
          <t>Truck rule used</t>
        </is>
      </c>
      <c r="R1" s="1" t="inlineStr">
        <is>
          <t>Sealing rule used</t>
        </is>
      </c>
      <c r="S1" s="1" t="inlineStr">
        <is>
          <t>Gap over 10 min</t>
        </is>
      </c>
    </row>
    <row r="2">
      <c r="A2" s="3" t="n">
        <v>1</v>
      </c>
      <c r="B2" s="3" t="inlineStr">
        <is>
          <t>HF903</t>
        </is>
      </c>
      <c r="C2" s="3" t="inlineStr">
        <is>
          <t>no</t>
        </is>
      </c>
      <c r="D2" s="3" t="inlineStr">
        <is>
          <t>TURN</t>
        </is>
      </c>
      <c r="E2" s="4" t="n">
        <v>0.05902777777777778</v>
      </c>
      <c r="F2" s="4" t="n">
        <v>0.125</v>
      </c>
      <c r="G2" s="4" t="n">
        <v>0.04166666666666666</v>
      </c>
      <c r="H2" s="4" t="n">
        <v>0.03819444444444445</v>
      </c>
      <c r="I2" s="3">
        <f>IF(OR(G2="",H2=""),"",ROUND((MOD(H2-G2+0.5,1)-0.5)*1440,0))</f>
        <v/>
      </c>
      <c r="J2" s="4" t="n">
        <v>0</v>
      </c>
      <c r="K2" s="4" t="n">
        <v>0.9965277777777778</v>
      </c>
      <c r="L2" s="3">
        <f>IF(OR(J2="",K2=""),"",ROUND((MOD(K2-J2+0.5,1)-0.5)*1440,0))</f>
        <v/>
      </c>
      <c r="M2" s="3" t="inlineStr">
        <is>
          <t>D-1</t>
        </is>
      </c>
      <c r="N2" s="4" t="n">
        <v>0.2083333333333333</v>
      </c>
      <c r="O2" s="4" t="n">
        <v>0.2083333333333333</v>
      </c>
      <c r="P2" s="3">
        <f>IF(OR(N2="",O2=""),"",ROUND((MOD(O2-N2+0.5,1)-0.5)*1440,0))</f>
        <v/>
      </c>
      <c r="Q2" s="3" t="inlineStr">
        <is>
          <t>ETA - 30 min (profile TURN)</t>
        </is>
      </c>
      <c r="R2" s="3" t="inlineStr">
        <is>
          <t>Truck - 1h (narrowbody)</t>
        </is>
      </c>
      <c r="S2" s="3">
        <f>IF(OR(AND(ISNUMBER(I2),ABS(N(I2))&gt;10),AND(ISNUMBER(L2),ABS(N(L2))&gt;10),AND(ISNUMBER(P2),ABS(N(P2))&gt;10)),"yes","")</f>
        <v/>
      </c>
    </row>
    <row r="3">
      <c r="A3" s="3" t="n">
        <v>2</v>
      </c>
      <c r="B3" s="3" t="inlineStr">
        <is>
          <t>KP0073</t>
        </is>
      </c>
      <c r="C3" s="3" t="inlineStr">
        <is>
          <t>yes</t>
        </is>
      </c>
      <c r="D3" s="3" t="inlineStr">
        <is>
          <t>TURN</t>
        </is>
      </c>
      <c r="E3" s="4" t="n">
        <v>0.06597222222222222</v>
      </c>
      <c r="F3" s="4" t="n">
        <v>0.1527777777777778</v>
      </c>
      <c r="G3" s="4" t="n">
        <v>0.04166666666666666</v>
      </c>
      <c r="H3" s="4" t="n">
        <v>0.04513888888888889</v>
      </c>
      <c r="I3" s="3">
        <f>IF(OR(G3="",H3=""),"",ROUND((MOD(H3-G3+0.5,1)-0.5)*1440,0))</f>
        <v/>
      </c>
      <c r="J3" s="4" t="n">
        <v>0</v>
      </c>
      <c r="K3" s="4" t="n">
        <v>0.003472222222222222</v>
      </c>
      <c r="L3" s="3">
        <f>IF(OR(J3="",K3=""),"",ROUND((MOD(K3-J3+0.5,1)-0.5)*1440,0))</f>
        <v/>
      </c>
      <c r="M3" s="3" t="inlineStr">
        <is>
          <t>D-1</t>
        </is>
      </c>
      <c r="N3" s="4" t="n">
        <v>0.2361111111111111</v>
      </c>
      <c r="O3" s="4" t="n">
        <v>0.2361111111111111</v>
      </c>
      <c r="P3" s="3">
        <f>IF(OR(N3="",O3=""),"",ROUND((MOD(O3-N3+0.5,1)-0.5)*1440,0))</f>
        <v/>
      </c>
      <c r="Q3" s="3" t="inlineStr">
        <is>
          <t>ETA - 30 min (profile TURN)</t>
        </is>
      </c>
      <c r="R3" s="3" t="inlineStr">
        <is>
          <t>Truck - 1h (narrowbody)</t>
        </is>
      </c>
      <c r="S3" s="3">
        <f>IF(OR(AND(ISNUMBER(I3),ABS(N(I3))&gt;10),AND(ISNUMBER(L3),ABS(N(L3))&gt;10),AND(ISNUMBER(P3),ABS(N(P3))&gt;10)),"yes","")</f>
        <v/>
      </c>
    </row>
    <row r="4">
      <c r="A4" s="3" t="n">
        <v>4</v>
      </c>
      <c r="B4" s="3" t="inlineStr">
        <is>
          <t>HF903</t>
        </is>
      </c>
      <c r="C4" s="3" t="inlineStr">
        <is>
          <t>no</t>
        </is>
      </c>
      <c r="D4" s="3" t="inlineStr">
        <is>
          <t>TURN</t>
        </is>
      </c>
      <c r="E4" s="4" t="n">
        <v>0.0798611111111111</v>
      </c>
      <c r="F4" s="4" t="n">
        <v>0.2048611111111111</v>
      </c>
      <c r="G4" s="4" t="n">
        <v>0.0625</v>
      </c>
      <c r="H4" s="4" t="n">
        <v>0.05902777777777778</v>
      </c>
      <c r="I4" s="3">
        <f>IF(OR(G4="",H4=""),"",ROUND((MOD(H4-G4+0.5,1)-0.5)*1440,0))</f>
        <v/>
      </c>
      <c r="J4" s="4" t="n">
        <v>0.02083333333333333</v>
      </c>
      <c r="K4" s="4" t="n">
        <v>0.01736111111111111</v>
      </c>
      <c r="L4" s="3">
        <f>IF(OR(J4="",K4=""),"",ROUND((MOD(K4-J4+0.5,1)-0.5)*1440,0))</f>
        <v/>
      </c>
      <c r="M4" s="3" t="inlineStr">
        <is>
          <t>D-1</t>
        </is>
      </c>
      <c r="N4" s="4" t="n">
        <v>0.2881944444444444</v>
      </c>
      <c r="O4" s="4" t="n">
        <v>0.2881944444444444</v>
      </c>
      <c r="P4" s="3">
        <f>IF(OR(N4="",O4=""),"",ROUND((MOD(O4-N4+0.5,1)-0.5)*1440,0))</f>
        <v/>
      </c>
      <c r="Q4" s="3" t="inlineStr">
        <is>
          <t>ETA - 30 min (profile TURN)</t>
        </is>
      </c>
      <c r="R4" s="3" t="inlineStr">
        <is>
          <t>Truck - 1h (narrowbody)</t>
        </is>
      </c>
      <c r="S4" s="3">
        <f>IF(OR(AND(ISNUMBER(I4),ABS(N(I4))&gt;10),AND(ISNUMBER(L4),ABS(N(L4))&gt;10),AND(ISNUMBER(P4),ABS(N(P4))&gt;10)),"yes","")</f>
        <v/>
      </c>
    </row>
    <row r="5">
      <c r="A5" s="3" t="n">
        <v>5</v>
      </c>
      <c r="B5" s="3" t="inlineStr">
        <is>
          <t>HM062</t>
        </is>
      </c>
      <c r="C5" s="3" t="inlineStr">
        <is>
          <t>yes</t>
        </is>
      </c>
      <c r="D5" s="3" t="inlineStr">
        <is>
          <t>DAYSTOP</t>
        </is>
      </c>
      <c r="E5" s="4" t="n"/>
      <c r="F5" s="4" t="n">
        <v>0.375</v>
      </c>
      <c r="G5" s="4" t="n">
        <v>0.2604166666666667</v>
      </c>
      <c r="H5" s="4" t="n">
        <v>0.25</v>
      </c>
      <c r="I5" s="3">
        <f>IF(OR(G5="",H5=""),"",ROUND((MOD(H5-G5+0.5,1)-0.5)*1440,0))</f>
        <v/>
      </c>
      <c r="J5" s="4" t="n">
        <v>0.21875</v>
      </c>
      <c r="K5" s="4" t="n">
        <v>0.2083333333333333</v>
      </c>
      <c r="L5" s="3">
        <f>IF(OR(J5="",K5=""),"",ROUND((MOD(K5-J5+0.5,1)-0.5)*1440,0))</f>
        <v/>
      </c>
      <c r="M5" s="3" t="inlineStr">
        <is>
          <t>D-1</t>
        </is>
      </c>
      <c r="N5" s="4" t="n">
        <v>0.4583333333333333</v>
      </c>
      <c r="O5" s="4" t="n">
        <v>0.4583333333333333</v>
      </c>
      <c r="P5" s="3">
        <f>IF(OR(N5="",O5=""),"",ROUND((MOD(O5-N5+0.5,1)-0.5)*1440,0))</f>
        <v/>
      </c>
      <c r="Q5" s="3" t="inlineStr">
        <is>
          <t>ETD - 3h (profile DAYSTOP)</t>
        </is>
      </c>
      <c r="R5" s="3" t="inlineStr">
        <is>
          <t>Truck - 1h (narrowbody)</t>
        </is>
      </c>
      <c r="S5" s="3">
        <f>IF(OR(AND(ISNUMBER(I5),ABS(N(I5))&gt;10),AND(ISNUMBER(L5),ABS(N(L5))&gt;10),AND(ISNUMBER(P5),ABS(N(P5))&gt;10)),"yes","")</f>
        <v/>
      </c>
    </row>
    <row r="6">
      <c r="A6" s="3" t="n">
        <v>6</v>
      </c>
      <c r="B6" s="3" t="inlineStr">
        <is>
          <t>ET848</t>
        </is>
      </c>
      <c r="C6" s="3" t="inlineStr">
        <is>
          <t>yes</t>
        </is>
      </c>
      <c r="D6" s="3" t="inlineStr">
        <is>
          <t>TURN</t>
        </is>
      </c>
      <c r="E6" s="4" t="n">
        <v>0.1631944444444444</v>
      </c>
      <c r="F6" s="4" t="n">
        <v>0.3472222222222222</v>
      </c>
      <c r="G6" s="4" t="n">
        <v>0.2638888888888889</v>
      </c>
      <c r="H6" s="4" t="n">
        <v>0.2638888888888889</v>
      </c>
      <c r="I6" s="3">
        <f>IF(OR(G6="",H6=""),"",ROUND((MOD(H6-G6+0.5,1)-0.5)*1440,0))</f>
        <v/>
      </c>
      <c r="J6" s="4" t="n">
        <v>0.2222222222222222</v>
      </c>
      <c r="K6" s="4" t="n">
        <v>0.2222222222222222</v>
      </c>
      <c r="L6" s="3">
        <f>IF(OR(J6="",K6=""),"",ROUND((MOD(K6-J6+0.5,1)-0.5)*1440,0))</f>
        <v/>
      </c>
      <c r="M6" s="3" t="inlineStr">
        <is>
          <t>D-1</t>
        </is>
      </c>
      <c r="N6" s="4" t="n">
        <v>0.4305555555555556</v>
      </c>
      <c r="O6" s="4" t="n">
        <v>0.4305555555555556</v>
      </c>
      <c r="P6" s="3">
        <f>IF(OR(N6="",O6=""),"",ROUND((MOD(O6-N6+0.5,1)-0.5)*1440,0))</f>
        <v/>
      </c>
      <c r="Q6" s="3" t="inlineStr">
        <is>
          <t>ETD - 2h (TRUCK_EXCEPTIONS)</t>
        </is>
      </c>
      <c r="R6" s="3" t="inlineStr">
        <is>
          <t>Truck - 1h (narrowbody)</t>
        </is>
      </c>
      <c r="S6" s="3">
        <f>IF(OR(AND(ISNUMBER(I6),ABS(N(I6))&gt;10),AND(ISNUMBER(L6),ABS(N(L6))&gt;10),AND(ISNUMBER(P6),ABS(N(P6))&gt;10)),"yes","")</f>
        <v/>
      </c>
    </row>
    <row r="7">
      <c r="A7" s="3" t="n">
        <v>7</v>
      </c>
      <c r="B7" s="3" t="inlineStr">
        <is>
          <t>LH579</t>
        </is>
      </c>
      <c r="C7" s="3" t="inlineStr">
        <is>
          <t>yes</t>
        </is>
      </c>
      <c r="D7" s="3" t="inlineStr">
        <is>
          <t>TURN</t>
        </is>
      </c>
      <c r="E7" s="4" t="n">
        <v>0.2777777777777778</v>
      </c>
      <c r="F7" s="4" t="n">
        <v>0.3645833333333333</v>
      </c>
      <c r="G7" s="4" t="n">
        <v>0.2569444444444444</v>
      </c>
      <c r="H7" s="4" t="n">
        <v>0.2569444444444444</v>
      </c>
      <c r="I7" s="3">
        <f>IF(OR(G7="",H7=""),"",ROUND((MOD(H7-G7+0.5,1)-0.5)*1440,0))</f>
        <v/>
      </c>
      <c r="J7" s="4" t="n">
        <v>0.1736111111111111</v>
      </c>
      <c r="K7" s="4" t="n">
        <v>0.1736111111111111</v>
      </c>
      <c r="L7" s="3">
        <f>IF(OR(J7="",K7=""),"",ROUND((MOD(K7-J7+0.5,1)-0.5)*1440,0))</f>
        <v/>
      </c>
      <c r="M7" s="3" t="inlineStr">
        <is>
          <t>D-1</t>
        </is>
      </c>
      <c r="N7" s="4" t="n">
        <v>0.4652777777777778</v>
      </c>
      <c r="O7" s="4" t="n">
        <v>0.4479166666666667</v>
      </c>
      <c r="P7" s="3">
        <f>IF(OR(N7="",O7=""),"",ROUND((MOD(O7-N7+0.5,1)-0.5)*1440,0))</f>
        <v/>
      </c>
      <c r="Q7" s="3" t="inlineStr">
        <is>
          <t>ETA - 30 min (profile TURN)</t>
        </is>
      </c>
      <c r="R7" s="3" t="inlineStr">
        <is>
          <t>Truck - 2h (widebody)</t>
        </is>
      </c>
      <c r="S7" s="3">
        <f>IF(OR(AND(ISNUMBER(I7),ABS(N(I7))&gt;10),AND(ISNUMBER(L7),ABS(N(L7))&gt;10),AND(ISNUMBER(P7),ABS(N(P7))&gt;10)),"yes","")</f>
        <v/>
      </c>
    </row>
    <row r="8">
      <c r="A8" s="3" t="n">
        <v>8</v>
      </c>
      <c r="B8" s="3" t="inlineStr">
        <is>
          <t>CA868</t>
        </is>
      </c>
      <c r="C8" s="3" t="inlineStr">
        <is>
          <t>yes</t>
        </is>
      </c>
      <c r="D8" s="3" t="inlineStr">
        <is>
          <t>TURN</t>
        </is>
      </c>
      <c r="E8" s="4" t="n">
        <v>0.3194444444444444</v>
      </c>
      <c r="F8" s="4" t="n">
        <v>0.4236111111111111</v>
      </c>
      <c r="G8" s="4" t="n">
        <v>0.2986111111111111</v>
      </c>
      <c r="H8" s="4" t="n">
        <v>0.2986111111111111</v>
      </c>
      <c r="I8" s="3">
        <f>IF(OR(G8="",H8=""),"",ROUND((MOD(H8-G8+0.5,1)-0.5)*1440,0))</f>
        <v/>
      </c>
      <c r="J8" s="4" t="n">
        <v>0.2569444444444444</v>
      </c>
      <c r="K8" s="4" t="n">
        <v>0.2569444444444444</v>
      </c>
      <c r="L8" s="3">
        <f>IF(OR(J8="",K8=""),"",ROUND((MOD(K8-J8+0.5,1)-0.5)*1440,0))</f>
        <v/>
      </c>
      <c r="M8" s="3" t="inlineStr">
        <is>
          <t>D-1</t>
        </is>
      </c>
      <c r="N8" s="4" t="n">
        <v>0.5069444444444444</v>
      </c>
      <c r="O8" s="4" t="n">
        <v>0.5069444444444444</v>
      </c>
      <c r="P8" s="3">
        <f>IF(OR(N8="",O8=""),"",ROUND((MOD(O8-N8+0.5,1)-0.5)*1440,0))</f>
        <v/>
      </c>
      <c r="Q8" s="3" t="inlineStr">
        <is>
          <t>ETA - 30 min (profile TURN)</t>
        </is>
      </c>
      <c r="R8" s="3" t="inlineStr">
        <is>
          <t>Truck - 1h (narrowbody)</t>
        </is>
      </c>
      <c r="S8" s="3">
        <f>IF(OR(AND(ISNUMBER(I8),ABS(N(I8))&gt;10),AND(ISNUMBER(L8),ABS(N(L8))&gt;10),AND(ISNUMBER(P8),ABS(N(P8))&gt;10)),"yes","")</f>
        <v/>
      </c>
    </row>
    <row r="9">
      <c r="A9" s="3" t="n">
        <v>9</v>
      </c>
      <c r="B9" s="3" t="inlineStr">
        <is>
          <t>EK768</t>
        </is>
      </c>
      <c r="C9" s="3" t="inlineStr">
        <is>
          <t>yes</t>
        </is>
      </c>
      <c r="D9" s="3" t="inlineStr">
        <is>
          <t>TURN</t>
        </is>
      </c>
      <c r="E9" s="4" t="n">
        <v>0.2291666666666667</v>
      </c>
      <c r="F9" s="4" t="n">
        <v>0.4201388888888889</v>
      </c>
      <c r="G9" s="4" t="n">
        <v>0.2951388888888889</v>
      </c>
      <c r="H9" s="4" t="n">
        <v>0.2083333333333333</v>
      </c>
      <c r="I9" s="3">
        <f>IF(OR(G9="",H9=""),"",ROUND((MOD(H9-G9+0.5,1)-0.5)*1440,0))</f>
        <v/>
      </c>
      <c r="J9" s="4" t="n">
        <v>0.2118055555555556</v>
      </c>
      <c r="K9" s="4" t="n">
        <v>0.125</v>
      </c>
      <c r="L9" s="3">
        <f>IF(OR(J9="",K9=""),"",ROUND((MOD(K9-J9+0.5,1)-0.5)*1440,0))</f>
        <v/>
      </c>
      <c r="M9" s="3" t="inlineStr">
        <is>
          <t>D-1</t>
        </is>
      </c>
      <c r="N9" s="4" t="n">
        <v>0.5034722222222222</v>
      </c>
      <c r="O9" s="4" t="n">
        <v>0.5034722222222222</v>
      </c>
      <c r="P9" s="3">
        <f>IF(OR(N9="",O9=""),"",ROUND((MOD(O9-N9+0.5,1)-0.5)*1440,0))</f>
        <v/>
      </c>
      <c r="Q9" s="3" t="inlineStr">
        <is>
          <t>ETA - 30 min (profile TURN)</t>
        </is>
      </c>
      <c r="R9" s="3" t="inlineStr">
        <is>
          <t>Truck - 2h (widebody)</t>
        </is>
      </c>
      <c r="S9" s="3">
        <f>IF(OR(AND(ISNUMBER(I9),ABS(N(I9))&gt;10),AND(ISNUMBER(L9),ABS(N(L9))&gt;10),AND(ISNUMBER(P9),ABS(N(P9))&gt;10)),"yes","")</f>
        <v/>
      </c>
    </row>
    <row r="10">
      <c r="A10" s="3" t="n">
        <v>10</v>
      </c>
      <c r="B10" s="3" t="inlineStr">
        <is>
          <t>HM062</t>
        </is>
      </c>
      <c r="C10" s="3" t="inlineStr">
        <is>
          <t>no</t>
        </is>
      </c>
      <c r="D10" s="3" t="inlineStr">
        <is>
          <t>TURN</t>
        </is>
      </c>
      <c r="E10" s="4" t="n">
        <v>0.4375</v>
      </c>
      <c r="F10" s="4" t="n">
        <v>0.4930555555555556</v>
      </c>
      <c r="G10" s="4" t="n">
        <v>0.4166666666666667</v>
      </c>
      <c r="H10" s="4" t="n">
        <v>0.4166666666666667</v>
      </c>
      <c r="I10" s="3">
        <f>IF(OR(G10="",H10=""),"",ROUND((MOD(H10-G10+0.5,1)-0.5)*1440,0))</f>
        <v/>
      </c>
      <c r="J10" s="4" t="n">
        <v>0.375</v>
      </c>
      <c r="K10" s="4" t="n">
        <v>0.375</v>
      </c>
      <c r="L10" s="3">
        <f>IF(OR(J10="",K10=""),"",ROUND((MOD(K10-J10+0.5,1)-0.5)*1440,0))</f>
        <v/>
      </c>
      <c r="M10" s="3" t="inlineStr">
        <is>
          <t>D-1</t>
        </is>
      </c>
      <c r="N10" s="4" t="n">
        <v>0.4583333333333333</v>
      </c>
      <c r="O10" s="4" t="n">
        <v>0.5763888888888888</v>
      </c>
      <c r="P10" s="3">
        <f>IF(OR(N10="",O10=""),"",ROUND((MOD(O10-N10+0.5,1)-0.5)*1440,0))</f>
        <v/>
      </c>
      <c r="Q10" s="3" t="inlineStr">
        <is>
          <t>ETA - 30 min (profile TURN)</t>
        </is>
      </c>
      <c r="R10" s="3" t="inlineStr">
        <is>
          <t>Truck - 1h (narrowbody)</t>
        </is>
      </c>
      <c r="S10" s="3">
        <f>IF(OR(AND(ISNUMBER(I10),ABS(N(I10))&gt;10),AND(ISNUMBER(L10),ABS(N(L10))&gt;10),AND(ISNUMBER(P10),ABS(N(P10))&gt;10)),"yes","")</f>
        <v/>
      </c>
    </row>
    <row r="11">
      <c r="A11" s="3" t="n">
        <v>11</v>
      </c>
      <c r="B11" s="3" t="inlineStr">
        <is>
          <t>EY748</t>
        </is>
      </c>
      <c r="C11" s="3" t="inlineStr">
        <is>
          <t>yes</t>
        </is>
      </c>
      <c r="D11" s="3" t="inlineStr">
        <is>
          <t>TURN</t>
        </is>
      </c>
      <c r="E11" s="4" t="n">
        <v>0.34375</v>
      </c>
      <c r="F11" s="4" t="n">
        <v>0.40625</v>
      </c>
      <c r="G11" s="4" t="n">
        <v>0.3229166666666667</v>
      </c>
      <c r="H11" s="4" t="n">
        <v>0.3229166666666667</v>
      </c>
      <c r="I11" s="3">
        <f>IF(OR(G11="",H11=""),"",ROUND((MOD(H11-G11+0.5,1)-0.5)*1440,0))</f>
        <v/>
      </c>
      <c r="J11" s="4" t="n">
        <v>0.28125</v>
      </c>
      <c r="K11" s="4" t="n">
        <v>0.28125</v>
      </c>
      <c r="L11" s="3">
        <f>IF(OR(J11="",K11=""),"",ROUND((MOD(K11-J11+0.5,1)-0.5)*1440,0))</f>
        <v/>
      </c>
      <c r="M11" s="3" t="inlineStr">
        <is>
          <t>D-1</t>
        </is>
      </c>
      <c r="N11" s="4" t="n">
        <v>0.4895833333333333</v>
      </c>
      <c r="O11" s="4" t="n">
        <v>0.4895833333333333</v>
      </c>
      <c r="P11" s="3">
        <f>IF(OR(N11="",O11=""),"",ROUND((MOD(O11-N11+0.5,1)-0.5)*1440,0))</f>
        <v/>
      </c>
      <c r="Q11" s="3" t="inlineStr">
        <is>
          <t>ETA - 30 min (profile TURN)</t>
        </is>
      </c>
      <c r="R11" s="3" t="inlineStr">
        <is>
          <t>Truck - 1h (narrowbody)</t>
        </is>
      </c>
      <c r="S11" s="3">
        <f>IF(OR(AND(ISNUMBER(I11),ABS(N(I11))&gt;10),AND(ISNUMBER(L11),ABS(N(L11))&gt;10),AND(ISNUMBER(P11),ABS(N(P11))&gt;10)),"yes","")</f>
        <v/>
      </c>
    </row>
    <row r="12">
      <c r="A12" s="3" t="n">
        <v>12</v>
      </c>
      <c r="B12" s="3" t="inlineStr">
        <is>
          <t>CX748</t>
        </is>
      </c>
      <c r="C12" s="3" t="inlineStr">
        <is>
          <t>yes</t>
        </is>
      </c>
      <c r="D12" s="3" t="inlineStr">
        <is>
          <t>TURN</t>
        </is>
      </c>
      <c r="E12" s="4" t="n">
        <v>0.3229166666666667</v>
      </c>
      <c r="F12" s="4" t="n">
        <v>0.4618055555555556</v>
      </c>
      <c r="G12" s="4" t="n">
        <v>0.3125</v>
      </c>
      <c r="H12" s="4" t="n">
        <v>0.3020833333333333</v>
      </c>
      <c r="I12" s="3">
        <f>IF(OR(G12="",H12=""),"",ROUND((MOD(H12-G12+0.5,1)-0.5)*1440,0))</f>
        <v/>
      </c>
      <c r="J12" s="4" t="n">
        <v>0.2291666666666667</v>
      </c>
      <c r="K12" s="4" t="n">
        <v>0.21875</v>
      </c>
      <c r="L12" s="3">
        <f>IF(OR(J12="",K12=""),"",ROUND((MOD(K12-J12+0.5,1)-0.5)*1440,0))</f>
        <v/>
      </c>
      <c r="M12" s="3" t="inlineStr">
        <is>
          <t>D-1</t>
        </is>
      </c>
      <c r="N12" s="4" t="n">
        <v>0.5208333333333334</v>
      </c>
      <c r="O12" s="4" t="n">
        <v>0.5451388888888888</v>
      </c>
      <c r="P12" s="3">
        <f>IF(OR(N12="",O12=""),"",ROUND((MOD(O12-N12+0.5,1)-0.5)*1440,0))</f>
        <v/>
      </c>
      <c r="Q12" s="3" t="inlineStr">
        <is>
          <t>ETA - 30 min (profile TURN)</t>
        </is>
      </c>
      <c r="R12" s="3" t="inlineStr">
        <is>
          <t>Truck - 2h (widebody)</t>
        </is>
      </c>
      <c r="S12" s="3">
        <f>IF(OR(AND(ISNUMBER(I12),ABS(N(I12))&gt;10),AND(ISNUMBER(L12),ABS(N(L12))&gt;10),AND(ISNUMBER(P12),ABS(N(P12))&gt;10)),"yes","")</f>
        <v/>
      </c>
    </row>
    <row r="13">
      <c r="A13" s="3" t="n">
        <v>13</v>
      </c>
      <c r="B13" s="3" t="inlineStr">
        <is>
          <t>EK762</t>
        </is>
      </c>
      <c r="C13" s="3" t="inlineStr">
        <is>
          <t>no</t>
        </is>
      </c>
      <c r="D13" s="3" t="inlineStr">
        <is>
          <t>TURN</t>
        </is>
      </c>
      <c r="E13" s="4" t="n">
        <v>0.4270833333333333</v>
      </c>
      <c r="F13" s="4" t="n">
        <v>0.5590277777777778</v>
      </c>
      <c r="G13" s="4" t="n">
        <v>0.3993055555555556</v>
      </c>
      <c r="H13" s="4" t="n">
        <v>0.40625</v>
      </c>
      <c r="I13" s="3">
        <f>IF(OR(G13="",H13=""),"",ROUND((MOD(H13-G13+0.5,1)-0.5)*1440,0))</f>
        <v/>
      </c>
      <c r="J13" s="4" t="n">
        <v>0.3159722222222222</v>
      </c>
      <c r="K13" s="4" t="n">
        <v>0.3229166666666667</v>
      </c>
      <c r="L13" s="3">
        <f>IF(OR(J13="",K13=""),"",ROUND((MOD(K13-J13+0.5,1)-0.5)*1440,0))</f>
        <v/>
      </c>
      <c r="M13" s="3" t="inlineStr">
        <is>
          <t>D-1</t>
        </is>
      </c>
      <c r="N13" s="4" t="n">
        <v>0.6076388888888888</v>
      </c>
      <c r="O13" s="4" t="n">
        <v>0.625</v>
      </c>
      <c r="P13" s="3">
        <f>IF(OR(N13="",O13=""),"",ROUND((MOD(O13-N13+0.5,1)-0.5)*1440,0))</f>
        <v/>
      </c>
      <c r="Q13" s="3" t="inlineStr">
        <is>
          <t>ETA - 30 min (profile TURN)</t>
        </is>
      </c>
      <c r="R13" s="3" t="inlineStr">
        <is>
          <t>Truck - 2h (widebody)</t>
        </is>
      </c>
      <c r="S13" s="3">
        <f>IF(OR(AND(ISNUMBER(I13),ABS(N(I13))&gt;10),AND(ISNUMBER(L13),ABS(N(L13))&gt;10),AND(ISNUMBER(P13),ABS(N(P13))&gt;10)),"yes","")</f>
        <v/>
      </c>
    </row>
    <row r="14">
      <c r="A14" s="3" t="n">
        <v>14</v>
      </c>
      <c r="B14" s="3" t="inlineStr">
        <is>
          <t>HM060</t>
        </is>
      </c>
      <c r="C14" s="3" t="inlineStr">
        <is>
          <t>yes</t>
        </is>
      </c>
      <c r="D14" s="3" t="inlineStr">
        <is>
          <t>TURN</t>
        </is>
      </c>
      <c r="E14" s="4" t="n">
        <v>0.4375</v>
      </c>
      <c r="F14" s="4" t="n">
        <v>0.4930555555555556</v>
      </c>
      <c r="G14" s="4" t="n">
        <v>0.4166666666666667</v>
      </c>
      <c r="H14" s="4" t="n">
        <v>0.4166666666666667</v>
      </c>
      <c r="I14" s="3">
        <f>IF(OR(G14="",H14=""),"",ROUND((MOD(H14-G14+0.5,1)-0.5)*1440,0))</f>
        <v/>
      </c>
      <c r="J14" s="4" t="n">
        <v>0.375</v>
      </c>
      <c r="K14" s="4" t="n">
        <v>0.375</v>
      </c>
      <c r="L14" s="3">
        <f>IF(OR(J14="",K14=""),"",ROUND((MOD(K14-J14+0.5,1)-0.5)*1440,0))</f>
        <v/>
      </c>
      <c r="M14" s="3" t="inlineStr">
        <is>
          <t>D-1</t>
        </is>
      </c>
      <c r="N14" s="4" t="n">
        <v>0.5833333333333334</v>
      </c>
      <c r="O14" s="4" t="n">
        <v>0.5763888888888888</v>
      </c>
      <c r="P14" s="3">
        <f>IF(OR(N14="",O14=""),"",ROUND((MOD(O14-N14+0.5,1)-0.5)*1440,0))</f>
        <v/>
      </c>
      <c r="Q14" s="3" t="inlineStr">
        <is>
          <t>ETA - 30 min (profile TURN)</t>
        </is>
      </c>
      <c r="R14" s="3" t="inlineStr">
        <is>
          <t>Truck - 1h (narrowbody)</t>
        </is>
      </c>
      <c r="S14" s="3">
        <f>IF(OR(AND(ISNUMBER(I14),ABS(N(I14))&gt;10),AND(ISNUMBER(L14),ABS(N(L14))&gt;10),AND(ISNUMBER(P14),ABS(N(P14))&gt;10)),"yes","")</f>
        <v/>
      </c>
    </row>
    <row r="15">
      <c r="A15" s="3" t="n">
        <v>15</v>
      </c>
      <c r="B15" s="3" t="inlineStr">
        <is>
          <t>MK852</t>
        </is>
      </c>
      <c r="C15" s="3" t="inlineStr">
        <is>
          <t>yes</t>
        </is>
      </c>
      <c r="D15" s="3" t="inlineStr">
        <is>
          <t>TURN</t>
        </is>
      </c>
      <c r="E15" s="4" t="n">
        <v>0.4756944444444444</v>
      </c>
      <c r="F15" s="4" t="n">
        <v>0.5486111111111112</v>
      </c>
      <c r="G15" s="4" t="n">
        <v>0.4548611111111111</v>
      </c>
      <c r="H15" s="4" t="n">
        <v>0.4548611111111111</v>
      </c>
      <c r="I15" s="3">
        <f>IF(OR(G15="",H15=""),"",ROUND((MOD(H15-G15+0.5,1)-0.5)*1440,0))</f>
        <v/>
      </c>
      <c r="J15" s="4" t="n">
        <v>0.4131944444444444</v>
      </c>
      <c r="K15" s="4" t="n">
        <v>0.4131944444444444</v>
      </c>
      <c r="L15" s="3">
        <f>IF(OR(J15="",K15=""),"",ROUND((MOD(K15-J15+0.5,1)-0.5)*1440,0))</f>
        <v/>
      </c>
      <c r="M15" s="3" t="inlineStr">
        <is>
          <t>D-1</t>
        </is>
      </c>
      <c r="N15" s="4" t="n">
        <v>0.6215277777777778</v>
      </c>
      <c r="O15" s="4" t="n">
        <v>0.625</v>
      </c>
      <c r="P15" s="3">
        <f>IF(OR(N15="",O15=""),"",ROUND((MOD(O15-N15+0.5,1)-0.5)*1440,0))</f>
        <v/>
      </c>
      <c r="Q15" s="3" t="inlineStr">
        <is>
          <t>ETA - 30 min (profile TURN)</t>
        </is>
      </c>
      <c r="R15" s="3" t="inlineStr">
        <is>
          <t>Truck - 1h (narrowbody)</t>
        </is>
      </c>
      <c r="S15" s="3">
        <f>IF(OR(AND(ISNUMBER(I15),ABS(N(I15))&gt;10),AND(ISNUMBER(L15),ABS(N(L15))&gt;10),AND(ISNUMBER(P15),ABS(N(P15))&gt;10)),"yes","")</f>
        <v/>
      </c>
    </row>
    <row r="16">
      <c r="A16" s="3" t="n">
        <v>16</v>
      </c>
      <c r="B16" s="3" t="inlineStr">
        <is>
          <t>UR711</t>
        </is>
      </c>
      <c r="C16" s="3" t="inlineStr">
        <is>
          <t>yes</t>
        </is>
      </c>
      <c r="D16" s="3" t="inlineStr">
        <is>
          <t>TURN</t>
        </is>
      </c>
      <c r="E16" s="4" t="n">
        <v>0.4895833333333333</v>
      </c>
      <c r="F16" s="4" t="n">
        <v>0.5347222222222222</v>
      </c>
      <c r="G16" s="4" t="n">
        <v>0.4583333333333333</v>
      </c>
      <c r="H16" s="4" t="n">
        <v>0.46875</v>
      </c>
      <c r="I16" s="3">
        <f>IF(OR(G16="",H16=""),"",ROUND((MOD(H16-G16+0.5,1)-0.5)*1440,0))</f>
        <v/>
      </c>
      <c r="J16" s="4" t="n">
        <v>0.4166666666666667</v>
      </c>
      <c r="K16" s="4" t="n">
        <v>0.4270833333333333</v>
      </c>
      <c r="L16" s="3">
        <f>IF(OR(J16="",K16=""),"",ROUND((MOD(K16-J16+0.5,1)-0.5)*1440,0))</f>
        <v/>
      </c>
      <c r="M16" s="3" t="inlineStr">
        <is>
          <t>D-1</t>
        </is>
      </c>
      <c r="N16" s="4" t="n">
        <v>0.625</v>
      </c>
      <c r="O16" s="4" t="n">
        <v>0.6180555555555556</v>
      </c>
      <c r="P16" s="3">
        <f>IF(OR(N16="",O16=""),"",ROUND((MOD(O16-N16+0.5,1)-0.5)*1440,0))</f>
        <v/>
      </c>
      <c r="Q16" s="3" t="inlineStr">
        <is>
          <t>ETA - 30 min (profile TURN)</t>
        </is>
      </c>
      <c r="R16" s="3" t="inlineStr">
        <is>
          <t>Truck - 1h (narrowbody)</t>
        </is>
      </c>
      <c r="S16" s="3">
        <f>IF(OR(AND(ISNUMBER(I16),ABS(N(I16))&gt;10),AND(ISNUMBER(L16),ABS(N(L16))&gt;10),AND(ISNUMBER(P16),ABS(N(P16))&gt;10)),"yes","")</f>
        <v/>
      </c>
    </row>
    <row r="17">
      <c r="A17" s="3" t="n">
        <v>17</v>
      </c>
      <c r="B17" s="3" t="inlineStr">
        <is>
          <t>LA8059</t>
        </is>
      </c>
      <c r="C17" s="3" t="inlineStr">
        <is>
          <t>yes</t>
        </is>
      </c>
      <c r="D17" s="3" t="inlineStr">
        <is>
          <t>TURN</t>
        </is>
      </c>
      <c r="E17" s="4" t="n">
        <v>0.4965277777777778</v>
      </c>
      <c r="F17" s="4" t="n">
        <v>0.6180555555555556</v>
      </c>
      <c r="G17" s="4" t="n">
        <v>0.4930555555555556</v>
      </c>
      <c r="H17" s="4" t="n">
        <v>0.4756944444444444</v>
      </c>
      <c r="I17" s="3">
        <f>IF(OR(G17="",H17=""),"",ROUND((MOD(H17-G17+0.5,1)-0.5)*1440,0))</f>
        <v/>
      </c>
      <c r="J17" s="4" t="n">
        <v>0.4166666666666667</v>
      </c>
      <c r="K17" s="4" t="n">
        <v>0.4340277777777778</v>
      </c>
      <c r="L17" s="3">
        <f>IF(OR(J17="",K17=""),"",ROUND((MOD(K17-J17+0.5,1)-0.5)*1440,0))</f>
        <v/>
      </c>
      <c r="M17" s="3" t="inlineStr">
        <is>
          <t>D-1</t>
        </is>
      </c>
      <c r="N17" s="4" t="n">
        <v>0.625</v>
      </c>
      <c r="O17" s="4" t="n">
        <v>0.625</v>
      </c>
      <c r="P17" s="3">
        <f>IF(OR(N17="",O17=""),"",ROUND((MOD(O17-N17+0.5,1)-0.5)*1440,0))</f>
        <v/>
      </c>
      <c r="Q17" s="3" t="inlineStr">
        <is>
          <t>ETA - 30 min (profile TURN)</t>
        </is>
      </c>
      <c r="R17" s="3" t="inlineStr">
        <is>
          <t>Truck - 1h (narrowbody)</t>
        </is>
      </c>
      <c r="S17" s="3">
        <f>IF(OR(AND(ISNUMBER(I17),ABS(N(I17))&gt;10),AND(ISNUMBER(L17),ABS(N(L17))&gt;10),AND(ISNUMBER(P17),ABS(N(P17))&gt;10)),"yes","")</f>
        <v/>
      </c>
    </row>
    <row r="18">
      <c r="A18" s="3" t="n">
        <v>18</v>
      </c>
      <c r="B18" s="3" t="inlineStr">
        <is>
          <t>UR711</t>
        </is>
      </c>
      <c r="C18" s="3" t="inlineStr">
        <is>
          <t>yes</t>
        </is>
      </c>
      <c r="D18" s="3" t="inlineStr">
        <is>
          <t>TURN</t>
        </is>
      </c>
      <c r="E18" s="4" t="n">
        <v>0.6423611111111112</v>
      </c>
      <c r="F18" s="4" t="n">
        <v>0.6840277777777778</v>
      </c>
      <c r="G18" s="4" t="n">
        <v>0.625</v>
      </c>
      <c r="H18" s="4" t="n">
        <v>0.6215277777777778</v>
      </c>
      <c r="I18" s="3">
        <f>IF(OR(G18="",H18=""),"",ROUND((MOD(H18-G18+0.5,1)-0.5)*1440,0))</f>
        <v/>
      </c>
      <c r="J18" s="4" t="n">
        <v>0.5833333333333334</v>
      </c>
      <c r="K18" s="4" t="n">
        <v>0.5798611111111112</v>
      </c>
      <c r="L18" s="3">
        <f>IF(OR(J18="",K18=""),"",ROUND((MOD(K18-J18+0.5,1)-0.5)*1440,0))</f>
        <v/>
      </c>
      <c r="M18" s="3" t="inlineStr">
        <is>
          <t>D-1</t>
        </is>
      </c>
      <c r="N18" s="4" t="n">
        <v>0.7916666666666666</v>
      </c>
      <c r="O18" s="4" t="n">
        <v>0.7916666666666666</v>
      </c>
      <c r="P18" s="3">
        <f>IF(OR(N18="",O18=""),"",ROUND((MOD(O18-N18+0.5,1)-0.5)*1440,0))</f>
        <v/>
      </c>
      <c r="Q18" s="3" t="inlineStr">
        <is>
          <t>ETA - 30 min (profile TURN)</t>
        </is>
      </c>
      <c r="R18" s="3" t="inlineStr">
        <is>
          <t>Truck - 1h (narrowbody)</t>
        </is>
      </c>
      <c r="S18" s="3">
        <f>IF(OR(AND(ISNUMBER(I18),ABS(N(I18))&gt;10),AND(ISNUMBER(L18),ABS(N(L18))&gt;10),AND(ISNUMBER(P18),ABS(N(P18))&gt;10)),"yes","")</f>
        <v/>
      </c>
    </row>
    <row r="19">
      <c r="A19" s="3" t="n">
        <v>19</v>
      </c>
      <c r="B19" s="3" t="inlineStr">
        <is>
          <t>ET83</t>
        </is>
      </c>
      <c r="C19" s="3" t="inlineStr">
        <is>
          <t>no</t>
        </is>
      </c>
      <c r="D19" s="3" t="inlineStr">
        <is>
          <t>TURN</t>
        </is>
      </c>
      <c r="E19" s="4" t="n">
        <v>0.6805555555555556</v>
      </c>
      <c r="F19" s="4" t="n">
        <v>0.7291666666666666</v>
      </c>
      <c r="G19" s="4" t="n">
        <v>0.65625</v>
      </c>
      <c r="H19" s="4" t="n">
        <v>0.6597222222222222</v>
      </c>
      <c r="I19" s="3">
        <f>IF(OR(G19="",H19=""),"",ROUND((MOD(H19-G19+0.5,1)-0.5)*1440,0))</f>
        <v/>
      </c>
      <c r="J19" s="4" t="n">
        <v>0.6145833333333334</v>
      </c>
      <c r="K19" s="4" t="n">
        <v>0.6180555555555556</v>
      </c>
      <c r="L19" s="3">
        <f>IF(OR(J19="",K19=""),"",ROUND((MOD(K19-J19+0.5,1)-0.5)*1440,0))</f>
        <v/>
      </c>
      <c r="M19" s="3" t="inlineStr">
        <is>
          <t>D</t>
        </is>
      </c>
      <c r="N19" s="4" t="n">
        <v>0.4479166666666667</v>
      </c>
      <c r="O19" s="4" t="n">
        <v>0.4479166666666667</v>
      </c>
      <c r="P19" s="3">
        <f>IF(OR(N19="",O19=""),"",ROUND((MOD(O19-N19+0.5,1)-0.5)*1440,0))</f>
        <v/>
      </c>
      <c r="Q19" s="3" t="inlineStr">
        <is>
          <t>ETA - 30 min (profile TURN)</t>
        </is>
      </c>
      <c r="R19" s="3" t="inlineStr">
        <is>
          <t>Truck - 1h (narrowbody)</t>
        </is>
      </c>
      <c r="S19" s="3">
        <f>IF(OR(AND(ISNUMBER(I19),ABS(N(I19))&gt;10),AND(ISNUMBER(L19),ABS(N(L19))&gt;10),AND(ISNUMBER(P19),ABS(N(P19))&gt;10)),"yes","")</f>
        <v/>
      </c>
    </row>
    <row r="20">
      <c r="A20" s="3" t="n">
        <v>20</v>
      </c>
      <c r="B20" s="3" t="inlineStr">
        <is>
          <t>EK764</t>
        </is>
      </c>
      <c r="C20" s="3" t="inlineStr">
        <is>
          <t>yes</t>
        </is>
      </c>
      <c r="D20" s="3" t="inlineStr">
        <is>
          <t>TURN</t>
        </is>
      </c>
      <c r="E20" s="4" t="n">
        <v>0.6770833333333334</v>
      </c>
      <c r="F20" s="4" t="n">
        <v>0.7986111111111112</v>
      </c>
      <c r="G20" s="4" t="n">
        <v>0.65625</v>
      </c>
      <c r="H20" s="4" t="n">
        <v>0.65625</v>
      </c>
      <c r="I20" s="3">
        <f>IF(OR(G20="",H20=""),"",ROUND((MOD(H20-G20+0.5,1)-0.5)*1440,0))</f>
        <v/>
      </c>
      <c r="J20" s="4" t="n">
        <v>0.5729166666666666</v>
      </c>
      <c r="K20" s="4" t="n">
        <v>0.5729166666666666</v>
      </c>
      <c r="L20" s="3">
        <f>IF(OR(J20="",K20=""),"",ROUND((MOD(K20-J20+0.5,1)-0.5)*1440,0))</f>
        <v/>
      </c>
      <c r="M20" s="3" t="inlineStr">
        <is>
          <t>D</t>
        </is>
      </c>
      <c r="N20" s="4" t="n">
        <v>0.40625</v>
      </c>
      <c r="O20" s="4" t="n">
        <v>0.40625</v>
      </c>
      <c r="P20" s="3">
        <f>IF(OR(N20="",O20=""),"",ROUND((MOD(O20-N20+0.5,1)-0.5)*1440,0))</f>
        <v/>
      </c>
      <c r="Q20" s="3" t="inlineStr">
        <is>
          <t>ETA - 30 min (profile TURN)</t>
        </is>
      </c>
      <c r="R20" s="3" t="inlineStr">
        <is>
          <t>Truck - 2h (widebody)</t>
        </is>
      </c>
      <c r="S20" s="3">
        <f>IF(OR(AND(ISNUMBER(I20),ABS(N(I20))&gt;10),AND(ISNUMBER(L20),ABS(N(L20))&gt;10),AND(ISNUMBER(P20),ABS(N(P20))&gt;10)),"yes","")</f>
        <v/>
      </c>
    </row>
    <row r="21">
      <c r="A21" s="3" t="n">
        <v>21</v>
      </c>
      <c r="B21" s="3" t="inlineStr">
        <is>
          <t>QF064</t>
        </is>
      </c>
      <c r="C21" s="3" t="inlineStr">
        <is>
          <t>yes</t>
        </is>
      </c>
      <c r="D21" s="3" t="inlineStr">
        <is>
          <t>TURN</t>
        </is>
      </c>
      <c r="E21" s="4" t="n">
        <v>0.6840277777777778</v>
      </c>
      <c r="F21" s="4" t="n">
        <v>0.78125</v>
      </c>
      <c r="G21" s="4" t="n">
        <v>0.6631944444444444</v>
      </c>
      <c r="H21" s="4" t="n">
        <v>0.6631944444444444</v>
      </c>
      <c r="I21" s="3">
        <f>IF(OR(G21="",H21=""),"",ROUND((MOD(H21-G21+0.5,1)-0.5)*1440,0))</f>
        <v/>
      </c>
      <c r="J21" s="4" t="n">
        <v>0.5798611111111112</v>
      </c>
      <c r="K21" s="4" t="n">
        <v>0.5798611111111112</v>
      </c>
      <c r="L21" s="3">
        <f>IF(OR(J21="",K21=""),"",ROUND((MOD(K21-J21+0.5,1)-0.5)*1440,0))</f>
        <v/>
      </c>
      <c r="M21" s="3" t="inlineStr">
        <is>
          <t>D</t>
        </is>
      </c>
      <c r="N21" s="4" t="n">
        <v>0.4131944444444444</v>
      </c>
      <c r="O21" s="4" t="n">
        <v>0.4131944444444444</v>
      </c>
      <c r="P21" s="3">
        <f>IF(OR(N21="",O21=""),"",ROUND((MOD(O21-N21+0.5,1)-0.5)*1440,0))</f>
        <v/>
      </c>
      <c r="Q21" s="3" t="inlineStr">
        <is>
          <t>ETA - 30 min (profile TURN)</t>
        </is>
      </c>
      <c r="R21" s="3" t="inlineStr">
        <is>
          <t>Truck - 2h (widebody)</t>
        </is>
      </c>
      <c r="S21" s="3">
        <f>IF(OR(AND(ISNUMBER(I21),ABS(N(I21))&gt;10),AND(ISNUMBER(L21),ABS(N(L21))&gt;10),AND(ISNUMBER(P21),ABS(N(P21))&gt;10)),"yes","")</f>
        <v/>
      </c>
    </row>
    <row r="22">
      <c r="A22" s="3" t="n">
        <v>22</v>
      </c>
      <c r="B22" s="3" t="inlineStr">
        <is>
          <t>LH573</t>
        </is>
      </c>
      <c r="C22" s="3" t="inlineStr">
        <is>
          <t>yes</t>
        </is>
      </c>
      <c r="D22" s="3" t="inlineStr">
        <is>
          <t>DAYSTOP</t>
        </is>
      </c>
      <c r="E22" s="4" t="n">
        <v>0.3576388888888889</v>
      </c>
      <c r="F22" s="4" t="n">
        <v>0.7916666666666666</v>
      </c>
      <c r="G22" s="4" t="n">
        <v>0.6666666666666666</v>
      </c>
      <c r="H22" s="4" t="n">
        <v>0.6666666666666666</v>
      </c>
      <c r="I22" s="3">
        <f>IF(OR(G22="",H22=""),"",ROUND((MOD(H22-G22+0.5,1)-0.5)*1440,0))</f>
        <v/>
      </c>
      <c r="J22" s="4" t="n">
        <v>0.625</v>
      </c>
      <c r="K22" s="4" t="n">
        <v>0.5833333333333334</v>
      </c>
      <c r="L22" s="3">
        <f>IF(OR(J22="",K22=""),"",ROUND((MOD(K22-J22+0.5,1)-0.5)*1440,0))</f>
        <v/>
      </c>
      <c r="M22" s="3" t="inlineStr">
        <is>
          <t>D</t>
        </is>
      </c>
      <c r="N22" s="4" t="n">
        <v>0.4583333333333333</v>
      </c>
      <c r="O22" s="4" t="n">
        <v>0.4583333333333333</v>
      </c>
      <c r="P22" s="3">
        <f>IF(OR(N22="",O22=""),"",ROUND((MOD(O22-N22+0.5,1)-0.5)*1440,0))</f>
        <v/>
      </c>
      <c r="Q22" s="3" t="inlineStr">
        <is>
          <t>ETD - 3h (profile DAYSTOP)</t>
        </is>
      </c>
      <c r="R22" s="3" t="inlineStr">
        <is>
          <t>Truck - 2h (widebody)</t>
        </is>
      </c>
      <c r="S22" s="3">
        <f>IF(OR(AND(ISNUMBER(I22),ABS(N(I22))&gt;10),AND(ISNUMBER(L22),ABS(N(L22))&gt;10),AND(ISNUMBER(P22),ABS(N(P22))&gt;10)),"yes","")</f>
        <v/>
      </c>
    </row>
    <row r="23">
      <c r="A23" s="3" t="n">
        <v>23</v>
      </c>
      <c r="B23" s="3" t="inlineStr">
        <is>
          <t>BA056</t>
        </is>
      </c>
      <c r="C23" s="3" t="inlineStr">
        <is>
          <t>yes</t>
        </is>
      </c>
      <c r="D23" s="3" t="inlineStr">
        <is>
          <t>DAYSTOP</t>
        </is>
      </c>
      <c r="E23" s="4" t="n">
        <v>0.3923611111111111</v>
      </c>
      <c r="F23" s="4" t="n">
        <v>0.8090277777777778</v>
      </c>
      <c r="G23" s="4" t="n">
        <v>0.6840277777777778</v>
      </c>
      <c r="H23" s="4" t="n">
        <v>0.6840277777777778</v>
      </c>
      <c r="I23" s="3">
        <f>IF(OR(G23="",H23=""),"",ROUND((MOD(H23-G23+0.5,1)-0.5)*1440,0))</f>
        <v/>
      </c>
      <c r="J23" s="4" t="n">
        <v>0.6006944444444444</v>
      </c>
      <c r="K23" s="4" t="n">
        <v>0.6006944444444444</v>
      </c>
      <c r="L23" s="3">
        <f>IF(OR(J23="",K23=""),"",ROUND((MOD(K23-J23+0.5,1)-0.5)*1440,0))</f>
        <v/>
      </c>
      <c r="M23" s="3" t="inlineStr">
        <is>
          <t>D</t>
        </is>
      </c>
      <c r="N23" s="4" t="n">
        <v>0.4340277777777778</v>
      </c>
      <c r="O23" s="4" t="n">
        <v>0.4340277777777778</v>
      </c>
      <c r="P23" s="3">
        <f>IF(OR(N23="",O23=""),"",ROUND((MOD(O23-N23+0.5,1)-0.5)*1440,0))</f>
        <v/>
      </c>
      <c r="Q23" s="3" t="inlineStr">
        <is>
          <t>ETD - 3h (profile DAYSTOP)</t>
        </is>
      </c>
      <c r="R23" s="3" t="inlineStr">
        <is>
          <t>Truck - 2h (widebody)</t>
        </is>
      </c>
      <c r="S23" s="3">
        <f>IF(OR(AND(ISNUMBER(I23),ABS(N(I23))&gt;10),AND(ISNUMBER(L23),ABS(N(L23))&gt;10),AND(ISNUMBER(P23),ABS(N(P23))&gt;10)),"yes","")</f>
        <v/>
      </c>
    </row>
    <row r="24">
      <c r="A24" s="3" t="n">
        <v>24</v>
      </c>
      <c r="B24" s="3" t="inlineStr">
        <is>
          <t>VS450</t>
        </is>
      </c>
      <c r="C24" s="3" t="inlineStr">
        <is>
          <t>yes</t>
        </is>
      </c>
      <c r="D24" s="3" t="inlineStr">
        <is>
          <t>DAYSTOP</t>
        </is>
      </c>
      <c r="E24" s="4" t="n">
        <v>0.4340277777777778</v>
      </c>
      <c r="F24" s="4" t="n">
        <v>0.8506944444444444</v>
      </c>
      <c r="G24" s="4" t="n">
        <v>0.7256944444444444</v>
      </c>
      <c r="H24" s="4" t="n">
        <v>0.7256944444444444</v>
      </c>
      <c r="I24" s="3">
        <f>IF(OR(G24="",H24=""),"",ROUND((MOD(H24-G24+0.5,1)-0.5)*1440,0))</f>
        <v/>
      </c>
      <c r="J24" s="4" t="n">
        <v>0.6840277777777778</v>
      </c>
      <c r="K24" s="4" t="n">
        <v>0.6423611111111112</v>
      </c>
      <c r="L24" s="3">
        <f>IF(OR(J24="",K24=""),"",ROUND((MOD(K24-J24+0.5,1)-0.5)*1440,0))</f>
        <v/>
      </c>
      <c r="M24" s="3" t="inlineStr">
        <is>
          <t>D</t>
        </is>
      </c>
      <c r="N24" s="4" t="n">
        <v>0.5173611111111112</v>
      </c>
      <c r="O24" s="4" t="n">
        <v>0.5173611111111112</v>
      </c>
      <c r="P24" s="3">
        <f>IF(OR(N24="",O24=""),"",ROUND((MOD(O24-N24+0.5,1)-0.5)*1440,0))</f>
        <v/>
      </c>
      <c r="Q24" s="3" t="inlineStr">
        <is>
          <t>ETD - 3h (profile DAYSTOP)</t>
        </is>
      </c>
      <c r="R24" s="3" t="inlineStr">
        <is>
          <t>Truck - 2h (widebody)</t>
        </is>
      </c>
      <c r="S24" s="3">
        <f>IF(OR(AND(ISNUMBER(I24),ABS(N(I24))&gt;10),AND(ISNUMBER(L24),ABS(N(L24))&gt;10),AND(ISNUMBER(P24),ABS(N(P24))&gt;10)),"yes","")</f>
        <v/>
      </c>
    </row>
    <row r="25">
      <c r="A25" s="3" t="n">
        <v>25</v>
      </c>
      <c r="B25" s="3" t="inlineStr">
        <is>
          <t>AH5361</t>
        </is>
      </c>
      <c r="C25" s="3" t="inlineStr">
        <is>
          <t>yes</t>
        </is>
      </c>
      <c r="D25" s="3" t="inlineStr">
        <is>
          <t>DAYSTOP</t>
        </is>
      </c>
      <c r="E25" s="4" t="n">
        <v>0.3888888888888889</v>
      </c>
      <c r="F25" s="4" t="n">
        <v>0.8472222222222222</v>
      </c>
      <c r="G25" s="4" t="n">
        <v>0.7708333333333334</v>
      </c>
      <c r="H25" s="4" t="n">
        <v>0.7222222222222222</v>
      </c>
      <c r="I25" s="3">
        <f>IF(OR(G25="",H25=""),"",ROUND((MOD(H25-G25+0.5,1)-0.5)*1440,0))</f>
        <v/>
      </c>
      <c r="J25" s="4" t="n">
        <v>0.7395833333333334</v>
      </c>
      <c r="K25" s="4" t="n">
        <v>0.6805555555555556</v>
      </c>
      <c r="L25" s="3">
        <f>IF(OR(J25="",K25=""),"",ROUND((MOD(K25-J25+0.5,1)-0.5)*1440,0))</f>
        <v/>
      </c>
      <c r="M25" s="3" t="inlineStr">
        <is>
          <t>D</t>
        </is>
      </c>
      <c r="N25" s="4" t="n">
        <v>0.5729166666666666</v>
      </c>
      <c r="O25" s="4" t="n">
        <v>0.5729166666666666</v>
      </c>
      <c r="P25" s="3">
        <f>IF(OR(N25="",O25=""),"",ROUND((MOD(O25-N25+0.5,1)-0.5)*1440,0))</f>
        <v/>
      </c>
      <c r="Q25" s="3" t="inlineStr">
        <is>
          <t>ETD - 3h (profile DAYSTOP)</t>
        </is>
      </c>
      <c r="R25" s="3" t="inlineStr">
        <is>
          <t>Truck - 1h (narrowbody)</t>
        </is>
      </c>
      <c r="S25" s="3">
        <f>IF(OR(AND(ISNUMBER(I25),ABS(N(I25))&gt;10),AND(ISNUMBER(L25),ABS(N(L25))&gt;10),AND(ISNUMBER(P25),ABS(N(P25))&gt;10)),"yes","")</f>
        <v/>
      </c>
    </row>
    <row r="26">
      <c r="A26" s="3" t="n">
        <v>26</v>
      </c>
      <c r="B26" s="3" t="inlineStr">
        <is>
          <t>DL201</t>
        </is>
      </c>
      <c r="C26" s="3" t="inlineStr">
        <is>
          <t>yes</t>
        </is>
      </c>
      <c r="D26" s="3" t="inlineStr">
        <is>
          <t>TURN</t>
        </is>
      </c>
      <c r="E26" s="4" t="n">
        <v>0.8194444444444444</v>
      </c>
      <c r="F26" s="4" t="n">
        <v>0.9131944444444444</v>
      </c>
      <c r="G26" s="4" t="n">
        <v>0.7881944444444444</v>
      </c>
      <c r="H26" s="4" t="n">
        <v>0.7986111111111112</v>
      </c>
      <c r="I26" s="3">
        <f>IF(OR(G26="",H26=""),"",ROUND((MOD(H26-G26+0.5,1)-0.5)*1440,0))</f>
        <v/>
      </c>
      <c r="J26" s="4" t="n">
        <v>0.7048611111111112</v>
      </c>
      <c r="K26" s="4" t="n">
        <v>0.7152777777777778</v>
      </c>
      <c r="L26" s="3">
        <f>IF(OR(J26="",K26=""),"",ROUND((MOD(K26-J26+0.5,1)-0.5)*1440,0))</f>
        <v/>
      </c>
      <c r="M26" s="3" t="inlineStr">
        <is>
          <t>D</t>
        </is>
      </c>
      <c r="N26" s="4" t="n">
        <v>0.5381944444444444</v>
      </c>
      <c r="O26" s="4" t="n">
        <v>0.5381944444444444</v>
      </c>
      <c r="P26" s="3">
        <f>IF(OR(N26="",O26=""),"",ROUND((MOD(O26-N26+0.5,1)-0.5)*1440,0))</f>
        <v/>
      </c>
      <c r="Q26" s="3" t="inlineStr">
        <is>
          <t>ETA - 30 min (profile TURN)</t>
        </is>
      </c>
      <c r="R26" s="3" t="inlineStr">
        <is>
          <t>Truck - 2h (widebody)</t>
        </is>
      </c>
      <c r="S26" s="3">
        <f>IF(OR(AND(ISNUMBER(I26),ABS(N(I26))&gt;10),AND(ISNUMBER(L26),ABS(N(L26))&gt;10),AND(ISNUMBER(P26),ABS(N(P26))&gt;10)),"yes","")</f>
        <v/>
      </c>
    </row>
    <row r="27">
      <c r="A27" s="3" t="n">
        <v>27</v>
      </c>
      <c r="B27" s="3" t="inlineStr">
        <is>
          <t>UR713</t>
        </is>
      </c>
      <c r="C27" s="3" t="inlineStr">
        <is>
          <t>yes</t>
        </is>
      </c>
      <c r="D27" s="3" t="inlineStr">
        <is>
          <t>TURN</t>
        </is>
      </c>
      <c r="E27" s="4" t="n">
        <v>0.8194444444444444</v>
      </c>
      <c r="F27" s="4" t="n">
        <v>0.8611111111111112</v>
      </c>
      <c r="G27" s="4" t="n">
        <v>0.7986111111111112</v>
      </c>
      <c r="H27" s="4" t="n">
        <v>0.7986111111111112</v>
      </c>
      <c r="I27" s="3">
        <f>IF(OR(G27="",H27=""),"",ROUND((MOD(H27-G27+0.5,1)-0.5)*1440,0))</f>
        <v/>
      </c>
      <c r="J27" s="4" t="n">
        <v>0.7569444444444444</v>
      </c>
      <c r="K27" s="4" t="n">
        <v>0.7569444444444444</v>
      </c>
      <c r="L27" s="3">
        <f>IF(OR(J27="",K27=""),"",ROUND((MOD(K27-J27+0.5,1)-0.5)*1440,0))</f>
        <v/>
      </c>
      <c r="M27" s="3" t="inlineStr">
        <is>
          <t>D</t>
        </is>
      </c>
      <c r="N27" s="4" t="n">
        <v>0.5902777777777778</v>
      </c>
      <c r="O27" s="4" t="n">
        <v>0.5902777777777778</v>
      </c>
      <c r="P27" s="3">
        <f>IF(OR(N27="",O27=""),"",ROUND((MOD(O27-N27+0.5,1)-0.5)*1440,0))</f>
        <v/>
      </c>
      <c r="Q27" s="3" t="inlineStr">
        <is>
          <t>ETA - 30 min (profile TURN)</t>
        </is>
      </c>
      <c r="R27" s="3" t="inlineStr">
        <is>
          <t>Truck - 1h (narrowbody)</t>
        </is>
      </c>
      <c r="S27" s="3">
        <f>IF(OR(AND(ISNUMBER(I27),ABS(N(I27))&gt;10),AND(ISNUMBER(L27),ABS(N(L27))&gt;10),AND(ISNUMBER(P27),ABS(N(P27))&gt;10)),"yes","")</f>
        <v/>
      </c>
    </row>
    <row r="28">
      <c r="A28" s="3" t="n">
        <v>28</v>
      </c>
      <c r="B28" s="3" t="inlineStr">
        <is>
          <t>BA054</t>
        </is>
      </c>
      <c r="C28" s="3" t="inlineStr">
        <is>
          <t>yes</t>
        </is>
      </c>
      <c r="D28" s="3" t="inlineStr">
        <is>
          <t>DAYSTOP</t>
        </is>
      </c>
      <c r="E28" s="4" t="n">
        <v>0.2916666666666667</v>
      </c>
      <c r="F28" s="4" t="n">
        <v>0.8854166666666666</v>
      </c>
      <c r="G28" s="4" t="n">
        <v>0.8020833333333334</v>
      </c>
      <c r="H28" s="4" t="n">
        <v>0.7604166666666666</v>
      </c>
      <c r="I28" s="3">
        <f>IF(OR(G28="",H28=""),"",ROUND((MOD(H28-G28+0.5,1)-0.5)*1440,0))</f>
        <v/>
      </c>
      <c r="J28" s="4" t="n">
        <v>0.71875</v>
      </c>
      <c r="K28" s="4" t="n">
        <v>0.6770833333333334</v>
      </c>
      <c r="L28" s="3">
        <f>IF(OR(J28="",K28=""),"",ROUND((MOD(K28-J28+0.5,1)-0.5)*1440,0))</f>
        <v/>
      </c>
      <c r="M28" s="3" t="inlineStr">
        <is>
          <t>D</t>
        </is>
      </c>
      <c r="N28" s="4" t="n">
        <v>0.5520833333333334</v>
      </c>
      <c r="O28" s="4" t="n">
        <v>0.5520833333333334</v>
      </c>
      <c r="P28" s="3">
        <f>IF(OR(N28="",O28=""),"",ROUND((MOD(O28-N28+0.5,1)-0.5)*1440,0))</f>
        <v/>
      </c>
      <c r="Q28" s="3" t="inlineStr">
        <is>
          <t>ETD - 3h (profile DAYSTOP)</t>
        </is>
      </c>
      <c r="R28" s="3" t="inlineStr">
        <is>
          <t>Truck - 2h (widebody)</t>
        </is>
      </c>
      <c r="S28" s="3">
        <f>IF(OR(AND(ISNUMBER(I28),ABS(N(I28))&gt;10),AND(ISNUMBER(L28),ABS(N(L28))&gt;10),AND(ISNUMBER(P28),ABS(N(P28))&gt;10)),"yes","")</f>
        <v/>
      </c>
    </row>
    <row r="29">
      <c r="A29" s="3" t="n">
        <v>29</v>
      </c>
      <c r="B29" s="3" t="inlineStr">
        <is>
          <t>QF066</t>
        </is>
      </c>
      <c r="C29" s="3" t="inlineStr">
        <is>
          <t>yes</t>
        </is>
      </c>
      <c r="D29" s="3" t="inlineStr">
        <is>
          <t>TURN</t>
        </is>
      </c>
      <c r="E29" s="4" t="n">
        <v>0.8368055555555556</v>
      </c>
      <c r="F29" s="4" t="n">
        <v>0.9131944444444444</v>
      </c>
      <c r="G29" s="4" t="n">
        <v>0.8090277777777778</v>
      </c>
      <c r="H29" s="4" t="n">
        <v>0.8159722222222222</v>
      </c>
      <c r="I29" s="3">
        <f>IF(OR(G29="",H29=""),"",ROUND((MOD(H29-G29+0.5,1)-0.5)*1440,0))</f>
        <v/>
      </c>
      <c r="J29" s="4" t="n">
        <v>0.7673611111111112</v>
      </c>
      <c r="K29" s="4" t="n">
        <v>0.7326388888888888</v>
      </c>
      <c r="L29" s="3">
        <f>IF(OR(J29="",K29=""),"",ROUND((MOD(K29-J29+0.5,1)-0.5)*1440,0))</f>
        <v/>
      </c>
      <c r="M29" s="3" t="inlineStr">
        <is>
          <t>D</t>
        </is>
      </c>
      <c r="N29" s="4" t="n">
        <v>0.6006944444444444</v>
      </c>
      <c r="O29" s="4" t="n">
        <v>0.6006944444444444</v>
      </c>
      <c r="P29" s="3">
        <f>IF(OR(N29="",O29=""),"",ROUND((MOD(O29-N29+0.5,1)-0.5)*1440,0))</f>
        <v/>
      </c>
      <c r="Q29" s="3" t="inlineStr">
        <is>
          <t>ETA - 30 min (profile TURN)</t>
        </is>
      </c>
      <c r="R29" s="3" t="inlineStr">
        <is>
          <t>Truck - 2h (widebody)</t>
        </is>
      </c>
      <c r="S29" s="3">
        <f>IF(OR(AND(ISNUMBER(I29),ABS(N(I29))&gt;10),AND(ISNUMBER(L29),ABS(N(L29))&gt;10),AND(ISNUMBER(P29),ABS(N(P29))&gt;10)),"yes","")</f>
        <v/>
      </c>
    </row>
    <row r="30">
      <c r="A30" s="3" t="n">
        <v>30</v>
      </c>
      <c r="B30" s="3" t="inlineStr">
        <is>
          <t>MS840</t>
        </is>
      </c>
      <c r="C30" s="3" t="inlineStr">
        <is>
          <t>yes</t>
        </is>
      </c>
      <c r="D30" s="3" t="inlineStr">
        <is>
          <t>DAYSTOP</t>
        </is>
      </c>
      <c r="E30" s="4" t="n">
        <v>0.3402777777777778</v>
      </c>
      <c r="F30" s="4" t="n">
        <v>0.9340277777777778</v>
      </c>
      <c r="G30" s="4" t="n">
        <v>0.8090277777777778</v>
      </c>
      <c r="H30" s="4" t="n">
        <v>0.8090277777777778</v>
      </c>
      <c r="I30" s="3">
        <f>IF(OR(G30="",H30=""),"",ROUND((MOD(H30-G30+0.5,1)-0.5)*1440,0))</f>
        <v/>
      </c>
      <c r="J30" s="4" t="n">
        <v>0.7673611111111112</v>
      </c>
      <c r="K30" s="4" t="n">
        <v>0.7673611111111112</v>
      </c>
      <c r="L30" s="3">
        <f>IF(OR(J30="",K30=""),"",ROUND((MOD(K30-J30+0.5,1)-0.5)*1440,0))</f>
        <v/>
      </c>
      <c r="M30" s="3" t="inlineStr">
        <is>
          <t>D</t>
        </is>
      </c>
      <c r="N30" s="4" t="n">
        <v>0.6006944444444444</v>
      </c>
      <c r="O30" s="4" t="n">
        <v>0.6006944444444444</v>
      </c>
      <c r="P30" s="3">
        <f>IF(OR(N30="",O30=""),"",ROUND((MOD(O30-N30+0.5,1)-0.5)*1440,0))</f>
        <v/>
      </c>
      <c r="Q30" s="3" t="inlineStr">
        <is>
          <t>ETD - 3h (profile DAYSTOP)</t>
        </is>
      </c>
      <c r="R30" s="3" t="inlineStr">
        <is>
          <t>Truck - 1h (narrowbody)</t>
        </is>
      </c>
      <c r="S30" s="3">
        <f>IF(OR(AND(ISNUMBER(I30),ABS(N(I30))&gt;10),AND(ISNUMBER(L30),ABS(N(L30))&gt;10),AND(ISNUMBER(P30),ABS(N(P30))&gt;10)),"yes","")</f>
        <v/>
      </c>
    </row>
    <row r="31">
      <c r="A31" s="3" t="n">
        <v>31</v>
      </c>
      <c r="B31" s="3" t="inlineStr">
        <is>
          <t>UA187</t>
        </is>
      </c>
      <c r="C31" s="3" t="inlineStr">
        <is>
          <t>yes</t>
        </is>
      </c>
      <c r="D31" s="3" t="inlineStr">
        <is>
          <t>TURN</t>
        </is>
      </c>
      <c r="E31" s="4" t="n">
        <v>0.7708333333333334</v>
      </c>
      <c r="F31" s="4" t="n">
        <v>0.9166666666666666</v>
      </c>
      <c r="G31" s="4" t="n">
        <v>0.8125</v>
      </c>
      <c r="H31" s="4" t="n">
        <v>0.8125</v>
      </c>
      <c r="I31" s="3">
        <f>IF(OR(G31="",H31=""),"",ROUND((MOD(H31-G31+0.5,1)-0.5)*1440,0))</f>
        <v/>
      </c>
      <c r="J31" s="4" t="n">
        <v>0.7291666666666666</v>
      </c>
      <c r="K31" s="4" t="n">
        <v>0.7291666666666666</v>
      </c>
      <c r="L31" s="3">
        <f>IF(OR(J31="",K31=""),"",ROUND((MOD(K31-J31+0.5,1)-0.5)*1440,0))</f>
        <v/>
      </c>
      <c r="M31" s="3" t="inlineStr">
        <is>
          <t>D</t>
        </is>
      </c>
      <c r="N31" s="4" t="n">
        <v>0.5625</v>
      </c>
      <c r="O31" s="4" t="n">
        <v>0.5625</v>
      </c>
      <c r="P31" s="3">
        <f>IF(OR(N31="",O31=""),"",ROUND((MOD(O31-N31+0.5,1)-0.5)*1440,0))</f>
        <v/>
      </c>
      <c r="Q31" s="3" t="inlineStr">
        <is>
          <t>ETD - 2h30 (TRUCK_EXCEPTIONS)</t>
        </is>
      </c>
      <c r="R31" s="3" t="inlineStr">
        <is>
          <t>Truck - 2h (widebody)</t>
        </is>
      </c>
      <c r="S31" s="3">
        <f>IF(OR(AND(ISNUMBER(I31),ABS(N(I31))&gt;10),AND(ISNUMBER(L31),ABS(N(L31))&gt;10),AND(ISNUMBER(P31),ABS(N(P31))&gt;10)),"yes","")</f>
        <v/>
      </c>
    </row>
    <row r="32">
      <c r="A32" s="3" t="n">
        <v>32</v>
      </c>
      <c r="B32" s="3" t="inlineStr">
        <is>
          <t>ET858</t>
        </is>
      </c>
      <c r="C32" s="3" t="inlineStr">
        <is>
          <t>yes</t>
        </is>
      </c>
      <c r="D32" s="3" t="inlineStr">
        <is>
          <t>TURN</t>
        </is>
      </c>
      <c r="E32" s="4" t="n">
        <v>0.8402777777777778</v>
      </c>
      <c r="F32" s="4" t="n">
        <v>0.9513888888888888</v>
      </c>
      <c r="G32" s="4" t="n">
        <v>0.8194444444444444</v>
      </c>
      <c r="H32" s="4" t="n">
        <v>0.8194444444444444</v>
      </c>
      <c r="I32" s="3">
        <f>IF(OR(G32="",H32=""),"",ROUND((MOD(H32-G32+0.5,1)-0.5)*1440,0))</f>
        <v/>
      </c>
      <c r="J32" s="4" t="n">
        <v>0.7777777777777778</v>
      </c>
      <c r="K32" s="4" t="n">
        <v>0.7777777777777778</v>
      </c>
      <c r="L32" s="3">
        <f>IF(OR(J32="",K32=""),"",ROUND((MOD(K32-J32+0.5,1)-0.5)*1440,0))</f>
        <v/>
      </c>
      <c r="M32" s="3" t="inlineStr">
        <is>
          <t>D</t>
        </is>
      </c>
      <c r="N32" s="4" t="n">
        <v>0.6111111111111112</v>
      </c>
      <c r="O32" s="4" t="n">
        <v>0.6111111111111112</v>
      </c>
      <c r="P32" s="3">
        <f>IF(OR(N32="",O32=""),"",ROUND((MOD(O32-N32+0.5,1)-0.5)*1440,0))</f>
        <v/>
      </c>
      <c r="Q32" s="3" t="inlineStr">
        <is>
          <t>ETA - 30 min (profile TURN)</t>
        </is>
      </c>
      <c r="R32" s="3" t="inlineStr">
        <is>
          <t>Truck - 1h (narrowbody)</t>
        </is>
      </c>
      <c r="S32" s="3">
        <f>IF(OR(AND(ISNUMBER(I32),ABS(N(I32))&gt;10),AND(ISNUMBER(L32),ABS(N(L32))&gt;10),AND(ISNUMBER(P32),ABS(N(P32))&gt;10)),"yes","")</f>
        <v/>
      </c>
    </row>
    <row r="33">
      <c r="A33" s="3" t="n">
        <v>33</v>
      </c>
      <c r="B33" s="3" t="inlineStr">
        <is>
          <t>EK766</t>
        </is>
      </c>
      <c r="C33" s="3" t="inlineStr">
        <is>
          <t>yes</t>
        </is>
      </c>
      <c r="D33" s="3" t="inlineStr">
        <is>
          <t>TURN</t>
        </is>
      </c>
      <c r="E33" s="4" t="n">
        <v>0.8576388888888888</v>
      </c>
      <c r="F33" s="4" t="n">
        <v>0.9305555555555556</v>
      </c>
      <c r="G33" s="4" t="n">
        <v>0.8333333333333334</v>
      </c>
      <c r="H33" s="4" t="n">
        <v>0.8368055555555556</v>
      </c>
      <c r="I33" s="3">
        <f>IF(OR(G33="",H33=""),"",ROUND((MOD(H33-G33+0.5,1)-0.5)*1440,0))</f>
        <v/>
      </c>
      <c r="J33" s="4" t="n">
        <v>0.75</v>
      </c>
      <c r="K33" s="4" t="n">
        <v>0.7534722222222222</v>
      </c>
      <c r="L33" s="3">
        <f>IF(OR(J33="",K33=""),"",ROUND((MOD(K33-J33+0.5,1)-0.5)*1440,0))</f>
        <v/>
      </c>
      <c r="M33" s="3" t="inlineStr">
        <is>
          <t>D</t>
        </is>
      </c>
      <c r="N33" s="4" t="n">
        <v>0.5833333333333334</v>
      </c>
      <c r="O33" s="4" t="n">
        <v>0.5833333333333334</v>
      </c>
      <c r="P33" s="3">
        <f>IF(OR(N33="",O33=""),"",ROUND((MOD(O33-N33+0.5,1)-0.5)*1440,0))</f>
        <v/>
      </c>
      <c r="Q33" s="3" t="inlineStr">
        <is>
          <t>ETA - 30 min (profile TURN)</t>
        </is>
      </c>
      <c r="R33" s="3" t="inlineStr">
        <is>
          <t>Truck - 2h (widebody)</t>
        </is>
      </c>
      <c r="S33" s="3">
        <f>IF(OR(AND(ISNUMBER(I33),ABS(N(I33))&gt;10),AND(ISNUMBER(L33),ABS(N(L33))&gt;10),AND(ISNUMBER(P33),ABS(N(P33))&gt;10)),"yes","")</f>
        <v/>
      </c>
    </row>
    <row r="34">
      <c r="A34" s="3" t="n">
        <v>34</v>
      </c>
      <c r="B34" s="3" t="inlineStr">
        <is>
          <t>UU344</t>
        </is>
      </c>
      <c r="C34" s="3" t="inlineStr">
        <is>
          <t>yes</t>
        </is>
      </c>
      <c r="D34" s="3" t="inlineStr">
        <is>
          <t>TURN</t>
        </is>
      </c>
      <c r="E34" s="4" t="n">
        <v>0.8645833333333334</v>
      </c>
      <c r="F34" s="4" t="n">
        <v>0.90625</v>
      </c>
      <c r="G34" s="4" t="n">
        <v>0.84375</v>
      </c>
      <c r="H34" s="4" t="n">
        <v>0.84375</v>
      </c>
      <c r="I34" s="3">
        <f>IF(OR(G34="",H34=""),"",ROUND((MOD(H34-G34+0.5,1)-0.5)*1440,0))</f>
        <v/>
      </c>
      <c r="J34" s="4" t="n">
        <v>0.8125</v>
      </c>
      <c r="K34" s="4" t="n">
        <v>0.8125</v>
      </c>
      <c r="L34" s="3">
        <f>IF(OR(J34="",K34=""),"",ROUND((MOD(K34-J34+0.5,1)-0.5)*1440,0))</f>
        <v/>
      </c>
      <c r="M34" s="3" t="inlineStr">
        <is>
          <t>D</t>
        </is>
      </c>
      <c r="N34" s="4" t="n">
        <v>0.6458333333333334</v>
      </c>
      <c r="O34" s="4" t="n">
        <v>0.6458333333333334</v>
      </c>
      <c r="P34" s="3">
        <f>IF(OR(N34="",O34=""),"",ROUND((MOD(O34-N34+0.5,1)-0.5)*1440,0))</f>
        <v/>
      </c>
      <c r="Q34" s="3" t="inlineStr">
        <is>
          <t>ETA - 30 min (profile TURN)</t>
        </is>
      </c>
      <c r="R34" s="3" t="inlineStr">
        <is>
          <t>Truck - 45 min (SEAL_EXCEPTIONS)</t>
        </is>
      </c>
      <c r="S34" s="3">
        <f>IF(OR(AND(ISNUMBER(I34),ABS(N(I34))&gt;10),AND(ISNUMBER(L34),ABS(N(L34))&gt;10),AND(ISNUMBER(P34),ABS(N(P34))&gt;10)),"yes","")</f>
        <v/>
      </c>
    </row>
    <row r="35">
      <c r="A35" s="3" t="n">
        <v>35</v>
      </c>
      <c r="B35" s="3" t="inlineStr">
        <is>
          <t>UR711</t>
        </is>
      </c>
      <c r="C35" s="3" t="inlineStr">
        <is>
          <t>yes</t>
        </is>
      </c>
      <c r="D35" s="3" t="inlineStr">
        <is>
          <t>TURN</t>
        </is>
      </c>
      <c r="E35" s="4" t="n">
        <v>0.9895833333333334</v>
      </c>
      <c r="F35" s="4" t="n">
        <v>0.03125</v>
      </c>
      <c r="G35" s="4" t="n">
        <v>0.9166666666666666</v>
      </c>
      <c r="H35" s="4" t="n">
        <v>0.96875</v>
      </c>
      <c r="I35" s="3">
        <f>IF(OR(G35="",H35=""),"",ROUND((MOD(H35-G35+0.5,1)-0.5)*1440,0))</f>
        <v/>
      </c>
      <c r="J35" s="4" t="n">
        <v>0.8854166666666666</v>
      </c>
      <c r="K35" s="4" t="n">
        <v>0.9270833333333334</v>
      </c>
      <c r="L35" s="3">
        <f>IF(OR(J35="",K35=""),"",ROUND((MOD(K35-J35+0.5,1)-0.5)*1440,0))</f>
        <v/>
      </c>
      <c r="M35" s="3" t="inlineStr">
        <is>
          <t>D</t>
        </is>
      </c>
      <c r="N35" s="4" t="n">
        <v>0.71875</v>
      </c>
      <c r="O35" s="4" t="n">
        <v>0.71875</v>
      </c>
      <c r="P35" s="3">
        <f>IF(OR(N35="",O35=""),"",ROUND((MOD(O35-N35+0.5,1)-0.5)*1440,0))</f>
        <v/>
      </c>
      <c r="Q35" s="3" t="inlineStr">
        <is>
          <t>ETA - 30 min (profile TURN)</t>
        </is>
      </c>
      <c r="R35" s="3" t="inlineStr">
        <is>
          <t>Truck - 1h (narrowbody)</t>
        </is>
      </c>
      <c r="S35" s="3">
        <f>IF(OR(AND(ISNUMBER(I35),ABS(N(I35))&gt;10),AND(ISNUMBER(L35),ABS(N(L35))&gt;10),AND(ISNUMBER(P35),ABS(N(P35))&gt;10)),"yes","")</f>
        <v/>
      </c>
    </row>
    <row r="37">
      <c r="A37" s="5" t="inlineStr">
        <is>
          <t>Gap = rule minus Sheet, minutes, midnight safe. Highlighted: more than 10 min. Inactive rows (DAYS = 0 or ACTIVE = NO) kept for reference.</t>
        </is>
      </c>
    </row>
    <row r="38">
      <c r="A38" s="5" t="inlineStr">
        <is>
          <t>Source: JNB tab, RULES tab and BoxTime tab of the Sheet, recomputed by js/rules.js (tools/check-unit.mjs).</t>
        </is>
      </c>
    </row>
    <row r="39">
      <c r="A39" s="6" t="inlineStr">
        <is>
          <t>Rows with gaps over 10 min:</t>
        </is>
      </c>
      <c r="E39" s="6">
        <f>COUNTIF(S2:S35,"yes")</f>
        <v/>
      </c>
    </row>
  </sheetData>
  <conditionalFormatting sqref="I2:I35">
    <cfRule type="expression" priority="1" dxfId="0">
      <formula>AND(ISNUMBER(I2),ABS(I2)&gt;10)</formula>
    </cfRule>
  </conditionalFormatting>
  <conditionalFormatting sqref="L2:L35">
    <cfRule type="expression" priority="2" dxfId="0">
      <formula>AND(ISNUMBER(L2),ABS(L2)&gt;10)</formula>
    </cfRule>
  </conditionalFormatting>
  <conditionalFormatting sqref="P2:P35">
    <cfRule type="expression" priority="3" dxfId="0">
      <formula>AND(ISNUMBER(P2),ABS(P2)&gt;10)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Flight</t>
        </is>
      </c>
      <c r="B1" s="1" t="inlineStr">
        <is>
          <t>Profile</t>
        </is>
      </c>
      <c r="C1" s="1" t="inlineStr">
        <is>
          <t>Scenario</t>
        </is>
      </c>
      <c r="D1" s="1" t="inlineStr">
        <is>
          <t>ETA</t>
        </is>
      </c>
      <c r="E1" s="1" t="inlineStr">
        <is>
          <t>ETD</t>
        </is>
      </c>
      <c r="F1" s="1" t="inlineStr">
        <is>
          <t>Truck</t>
        </is>
      </c>
      <c r="G1" s="1" t="inlineStr">
        <is>
          <t>Sealing</t>
        </is>
      </c>
      <c r="H1" s="1" t="inlineStr">
        <is>
          <t>Box Time</t>
        </is>
      </c>
      <c r="I1" s="1" t="inlineStr">
        <is>
          <t>Alerts</t>
        </is>
      </c>
      <c r="J1" s="1" t="inlineStr">
        <is>
          <t>What the app shows</t>
        </is>
      </c>
    </row>
    <row r="2">
      <c r="A2" s="2" t="inlineStr">
        <is>
          <t>EK764</t>
        </is>
      </c>
      <c r="B2" s="2" t="inlineStr">
        <is>
          <t>TURN</t>
        </is>
      </c>
      <c r="C2" s="2" t="inlineStr">
        <is>
          <t>Plan</t>
        </is>
      </c>
      <c r="D2" s="2" t="inlineStr">
        <is>
          <t>16:15</t>
        </is>
      </c>
      <c r="E2" s="2" t="inlineStr">
        <is>
          <t>19:10</t>
        </is>
      </c>
      <c r="F2" s="2" t="inlineStr">
        <is>
          <t>15:45</t>
        </is>
      </c>
      <c r="G2" s="2" t="inlineStr">
        <is>
          <t>13:45</t>
        </is>
      </c>
      <c r="H2" s="2" t="inlineStr">
        <is>
          <t>D 09:45</t>
        </is>
      </c>
      <c r="I2" s="2" t="inlineStr">
        <is>
          <t>normal</t>
        </is>
      </c>
      <c r="J2" s="2" t="inlineStr">
        <is>
          <t>Scheduled times</t>
        </is>
      </c>
    </row>
    <row r="3">
      <c r="A3" s="2" t="inlineStr">
        <is>
          <t>EK764</t>
        </is>
      </c>
      <c r="B3" s="2" t="inlineStr">
        <is>
          <t>TURN</t>
        </is>
      </c>
      <c r="C3" s="2" t="inlineStr">
        <is>
          <t>Delay +30 min</t>
        </is>
      </c>
      <c r="D3" s="2" t="inlineStr">
        <is>
          <t>16:45</t>
        </is>
      </c>
      <c r="E3" s="2" t="inlineStr">
        <is>
          <t>19:10</t>
        </is>
      </c>
      <c r="F3" s="2" t="inlineStr">
        <is>
          <t>16:15</t>
        </is>
      </c>
      <c r="G3" s="2" t="inlineStr">
        <is>
          <t>14:15</t>
        </is>
      </c>
      <c r="H3" s="2" t="inlineStr">
        <is>
          <t>D 10:15</t>
        </is>
      </c>
      <c r="I3" s="2" t="inlineStr">
        <is>
          <t>Slot too tight if within 30 min of now</t>
        </is>
      </c>
      <c r="J3" s="2" t="inlineStr">
        <is>
          <t>Truck, Sealing and Box Time D move by +30 min, old times struck, Auto updated</t>
        </is>
      </c>
    </row>
    <row r="4">
      <c r="A4" s="2" t="inlineStr">
        <is>
          <t>EK764</t>
        </is>
      </c>
      <c r="B4" s="2" t="inlineStr">
        <is>
          <t>TURN</t>
        </is>
      </c>
      <c r="C4" s="2" t="inlineStr">
        <is>
          <t>Cancellation</t>
        </is>
      </c>
      <c r="D4" s="2" t="inlineStr">
        <is>
          <t>CANCELLED</t>
        </is>
      </c>
      <c r="E4" s="2" t="inlineStr">
        <is>
          <t>CANCELLED</t>
        </is>
      </c>
      <c r="F4" s="2" t="inlineStr">
        <is>
          <t>CANCELLED</t>
        </is>
      </c>
      <c r="G4" s="2" t="inlineStr">
        <is>
          <t>CANCELLED</t>
        </is>
      </c>
      <c r="H4" s="2" t="inlineStr">
        <is>
          <t>Hold production</t>
        </is>
      </c>
      <c r="I4" s="2" t="inlineStr">
        <is>
          <t>off</t>
        </is>
      </c>
      <c r="J4" s="2" t="inlineStr">
        <is>
          <t>All events struck, status Cancelled, no alert, Box Time Hold production</t>
        </is>
      </c>
    </row>
    <row r="5">
      <c r="A5" s="2" t="inlineStr">
        <is>
          <t>LH573</t>
        </is>
      </c>
      <c r="B5" s="2" t="inlineStr">
        <is>
          <t>DAYSTOP</t>
        </is>
      </c>
      <c r="C5" s="2" t="inlineStr">
        <is>
          <t>Plan</t>
        </is>
      </c>
      <c r="D5" s="2" t="inlineStr">
        <is>
          <t>08:35</t>
        </is>
      </c>
      <c r="E5" s="2" t="inlineStr">
        <is>
          <t>19:00</t>
        </is>
      </c>
      <c r="F5" s="2" t="inlineStr">
        <is>
          <t>16:00</t>
        </is>
      </c>
      <c r="G5" s="2" t="inlineStr">
        <is>
          <t>15:00</t>
        </is>
      </c>
      <c r="H5" s="2" t="inlineStr">
        <is>
          <t>D 11:00</t>
        </is>
      </c>
      <c r="I5" s="2" t="inlineStr">
        <is>
          <t>normal</t>
        </is>
      </c>
      <c r="J5" s="2" t="inlineStr">
        <is>
          <t>Scheduled times</t>
        </is>
      </c>
    </row>
    <row r="6">
      <c r="A6" s="2" t="inlineStr">
        <is>
          <t>LH573</t>
        </is>
      </c>
      <c r="B6" s="2" t="inlineStr">
        <is>
          <t>DAYSTOP</t>
        </is>
      </c>
      <c r="C6" s="2" t="inlineStr">
        <is>
          <t>Delay +30 min</t>
        </is>
      </c>
      <c r="D6" s="2" t="inlineStr">
        <is>
          <t>09:05</t>
        </is>
      </c>
      <c r="E6" s="2" t="inlineStr">
        <is>
          <t>19:00</t>
        </is>
      </c>
      <c r="F6" s="2" t="inlineStr">
        <is>
          <t>16:00</t>
        </is>
      </c>
      <c r="G6" s="2" t="inlineStr">
        <is>
          <t>15:00</t>
        </is>
      </c>
      <c r="H6" s="2" t="inlineStr">
        <is>
          <t>D 11:00</t>
        </is>
      </c>
      <c r="I6" s="2" t="inlineStr">
        <is>
          <t>none</t>
        </is>
      </c>
      <c r="J6" s="2" t="inlineStr">
        <is>
          <t>Day stop: nothing moves, ETD kept; margin alert only if the ETA gets within 60 min of Truck</t>
        </is>
      </c>
    </row>
    <row r="7">
      <c r="A7" s="2" t="inlineStr">
        <is>
          <t>LH573</t>
        </is>
      </c>
      <c r="B7" s="2" t="inlineStr">
        <is>
          <t>DAYSTOP</t>
        </is>
      </c>
      <c r="C7" s="2" t="inlineStr">
        <is>
          <t>Cancellation</t>
        </is>
      </c>
      <c r="D7" s="2" t="inlineStr">
        <is>
          <t>CANCELLED</t>
        </is>
      </c>
      <c r="E7" s="2" t="inlineStr">
        <is>
          <t>CANCELLED</t>
        </is>
      </c>
      <c r="F7" s="2" t="inlineStr">
        <is>
          <t>CANCELLED</t>
        </is>
      </c>
      <c r="G7" s="2" t="inlineStr">
        <is>
          <t>CANCELLED</t>
        </is>
      </c>
      <c r="H7" s="2" t="inlineStr">
        <is>
          <t>Hold production</t>
        </is>
      </c>
      <c r="I7" s="2" t="inlineStr">
        <is>
          <t>off</t>
        </is>
      </c>
      <c r="J7" s="2" t="inlineStr">
        <is>
          <t>All events struck, status Cancelled, no alert, Box Time Hold production</t>
        </is>
      </c>
    </row>
    <row r="8">
      <c r="A8" s="2" t="inlineStr">
        <is>
          <t>MK852</t>
        </is>
      </c>
      <c r="B8" s="2" t="inlineStr">
        <is>
          <t>TURN</t>
        </is>
      </c>
      <c r="C8" s="2" t="inlineStr">
        <is>
          <t>Plan</t>
        </is>
      </c>
      <c r="D8" s="2" t="inlineStr">
        <is>
          <t>11:25</t>
        </is>
      </c>
      <c r="E8" s="2" t="inlineStr">
        <is>
          <t>13:10</t>
        </is>
      </c>
      <c r="F8" s="2" t="inlineStr">
        <is>
          <t>10:55</t>
        </is>
      </c>
      <c r="G8" s="2" t="inlineStr">
        <is>
          <t>09:55</t>
        </is>
      </c>
      <c r="H8" s="2" t="inlineStr">
        <is>
          <t>D-1 14:55</t>
        </is>
      </c>
      <c r="I8" s="2" t="inlineStr">
        <is>
          <t>normal</t>
        </is>
      </c>
      <c r="J8" s="2" t="inlineStr">
        <is>
          <t>Scheduled times</t>
        </is>
      </c>
    </row>
    <row r="9">
      <c r="A9" s="2" t="inlineStr">
        <is>
          <t>MK852</t>
        </is>
      </c>
      <c r="B9" s="2" t="inlineStr">
        <is>
          <t>TURN</t>
        </is>
      </c>
      <c r="C9" s="2" t="inlineStr">
        <is>
          <t>Delay +30 min</t>
        </is>
      </c>
      <c r="D9" s="2" t="inlineStr">
        <is>
          <t>11:55</t>
        </is>
      </c>
      <c r="E9" s="2" t="inlineStr">
        <is>
          <t>13:10</t>
        </is>
      </c>
      <c r="F9" s="2" t="inlineStr">
        <is>
          <t>11:25</t>
        </is>
      </c>
      <c r="G9" s="2" t="inlineStr">
        <is>
          <t>10:25</t>
        </is>
      </c>
      <c r="H9" s="2" t="inlineStr">
        <is>
          <t>D-1 14:55 (Check)</t>
        </is>
      </c>
      <c r="I9" s="2" t="inlineStr">
        <is>
          <t>Slot too tight if within 30 min of now</t>
        </is>
      </c>
      <c r="J9" s="2" t="inlineStr">
        <is>
          <t>Truck and Sealing move by +30 min; D-1 slot unchanged and marked Check</t>
        </is>
      </c>
    </row>
    <row r="10">
      <c r="A10" s="2" t="inlineStr">
        <is>
          <t>MK852</t>
        </is>
      </c>
      <c r="B10" s="2" t="inlineStr">
        <is>
          <t>TURN</t>
        </is>
      </c>
      <c r="C10" s="2" t="inlineStr">
        <is>
          <t>Cancellation</t>
        </is>
      </c>
      <c r="D10" s="2" t="inlineStr">
        <is>
          <t>CANCELLED</t>
        </is>
      </c>
      <c r="E10" s="2" t="inlineStr">
        <is>
          <t>CANCELLED</t>
        </is>
      </c>
      <c r="F10" s="2" t="inlineStr">
        <is>
          <t>CANCELLED</t>
        </is>
      </c>
      <c r="G10" s="2" t="inlineStr">
        <is>
          <t>CANCELLED</t>
        </is>
      </c>
      <c r="H10" s="2" t="inlineStr">
        <is>
          <t>Hold production</t>
        </is>
      </c>
      <c r="I10" s="2" t="inlineStr">
        <is>
          <t>off</t>
        </is>
      </c>
      <c r="J10" s="2" t="inlineStr">
        <is>
          <t>All events struck, status Cancelled, no alert, Box Time Hold production</t>
        </is>
      </c>
    </row>
    <row r="12">
      <c r="A12" s="5" t="inlineStr">
        <is>
          <t>Computed with js/rules.js on the JNB tab (EK764 TURN with a D slot, LH573 DAYSTOP, MK852 TURN with a D-1 slot). Reproduce in the app: Demo &gt; Delay +30 / Cancel flight.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0" customWidth="1" min="2" max="2"/>
    <col width="50" customWidth="1" min="3" max="3"/>
    <col width="50" customWidth="1" min="4" max="4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Why it matters</t>
        </is>
      </c>
      <c r="D1" s="1" t="inlineStr">
        <is>
          <t>Current choice</t>
        </is>
      </c>
    </row>
    <row r="2">
      <c r="A2" s="2" t="n">
        <v>1</v>
      </c>
      <c r="B2" s="2" t="inlineStr">
        <is>
          <t>EK768: Sheet Truck 07:05 is 125 min after the rule (ETA 05:30 - 30 = 05:00). Ground time 4h35 is under 6h, so the rule says TURN. Is EK768 handled as a day stop (Truck = ETD - 3h)?</t>
        </is>
      </c>
      <c r="C2" s="2" t="inlineStr">
        <is>
          <t>Largest gap in the check</t>
        </is>
      </c>
      <c r="D2" s="2" t="inlineStr">
        <is>
          <t>Sheet value kept (manual wins). Set RULE_PROFILE = DAYSTOP if it is a day stop</t>
        </is>
      </c>
    </row>
    <row r="3">
      <c r="A3" s="2" t="n">
        <v>2</v>
      </c>
      <c r="B3" s="2" t="inlineStr">
        <is>
          <t>LH573 and VS450: Sealing is Truck - 1h in the Sheet but both are in the widebody list (Truck - 2h).</t>
        </is>
      </c>
      <c r="C3" s="2" t="inlineStr">
        <is>
          <t>60 min gap on Sealing</t>
        </is>
      </c>
      <c r="D3" s="2" t="inlineStr">
        <is>
          <t>Sheet value kept. Remove them from WIDEBODY_AIRLINES or fix the Sheet</t>
        </is>
      </c>
    </row>
    <row r="4">
      <c r="A4" s="2" t="n">
        <v>3</v>
      </c>
      <c r="B4" s="2" t="inlineStr">
        <is>
          <t>AH5361: Truck 18:30 and Sealing 17:45 (45 min) do not follow the DAYSTOP rule (ETD - 3h = 17:20).</t>
        </is>
      </c>
      <c r="C4" s="2" t="inlineStr">
        <is>
          <t>70 and 85 min gaps</t>
        </is>
      </c>
      <c r="D4" s="2" t="inlineStr">
        <is>
          <t>Sheet value kept. Add a TRUCK_EXCEPTIONS entry if this is the real rule</t>
        </is>
      </c>
    </row>
    <row r="5">
      <c r="A5" s="2" t="n">
        <v>4</v>
      </c>
      <c r="B5" s="2" t="inlineStr">
        <is>
          <t>BA054: Truck 19:15 = ETD - 2h, rule DAYSTOP gives ETD - 3h = 18:15.</t>
        </is>
      </c>
      <c r="C5" s="2" t="inlineStr">
        <is>
          <t>60 min gap</t>
        </is>
      </c>
      <c r="D5" s="2" t="inlineStr">
        <is>
          <t>Sheet value kept</t>
        </is>
      </c>
    </row>
    <row r="6">
      <c r="A6" s="2" t="n">
        <v>5</v>
      </c>
      <c r="B6" s="2" t="inlineStr">
        <is>
          <t>UR711 (SI 35): Truck 22:00 is 1h45 before the ETA 23:45. UR711 (SI 16) and DL201 also have Truck 45 min before ETA.</t>
        </is>
      </c>
      <c r="C6" s="2" t="inlineStr">
        <is>
          <t>TURN rule says 30 min</t>
        </is>
      </c>
      <c r="D6" s="2" t="inlineStr">
        <is>
          <t>Sheet values kept, flagged in Data health</t>
        </is>
      </c>
    </row>
    <row r="7">
      <c r="A7" s="2" t="n">
        <v>6</v>
      </c>
      <c r="B7" s="2" t="inlineStr">
        <is>
          <t>QF066: Sealing 18:25 is Truck - 1h but QF is widebody (Truck - 2h); Truck is 40 min before ETA.</t>
        </is>
      </c>
      <c r="C7" s="2" t="inlineStr">
        <is>
          <t>Rule gap</t>
        </is>
      </c>
      <c r="D7" s="2" t="inlineStr">
        <is>
          <t>Sheet value kept</t>
        </is>
      </c>
    </row>
    <row r="8">
      <c r="A8" s="2" t="n">
        <v>7</v>
      </c>
      <c r="B8" s="2" t="inlineStr">
        <is>
          <t>EK762 (Truck 40 min before ETA) and KP0073 (35 min): confirm the real lead time.</t>
        </is>
      </c>
      <c r="C8" s="2" t="inlineStr">
        <is>
          <t>Requested check</t>
        </is>
      </c>
      <c r="D8" s="2" t="inlineStr">
        <is>
          <t>Flagged in NOTES and Data health</t>
        </is>
      </c>
    </row>
    <row r="9">
      <c r="A9" s="2" t="n">
        <v>8</v>
      </c>
      <c r="B9" s="2" t="inlineStr">
        <is>
          <t>HM062 SI 10 duplicates HM060 SI 14 (same times and days). Which flight number is right?</t>
        </is>
      </c>
      <c r="C9" s="2" t="inlineStr">
        <is>
          <t>Duplicate events</t>
        </is>
      </c>
      <c r="D9" s="2" t="inlineStr">
        <is>
          <t>SI 10 set to ACTIVE = NO, SI 14 kept</t>
        </is>
      </c>
    </row>
    <row r="10">
      <c r="A10" s="2" t="n">
        <v>9</v>
      </c>
      <c r="B10" s="2" t="inlineStr">
        <is>
          <t>ET83 (Air Congo, no codes): confirm that the aircraft flies with the Ethiopian callsign ETH83.</t>
        </is>
      </c>
      <c r="C10" s="2" t="inlineStr">
        <is>
          <t>Live tracking</t>
        </is>
      </c>
      <c r="D10" s="2" t="inlineStr">
        <is>
          <t>CALLSIGN = ETH83 on the row</t>
        </is>
      </c>
    </row>
    <row r="11">
      <c r="A11" s="2" t="n">
        <v>10</v>
      </c>
      <c r="B11" s="2" t="inlineStr">
        <is>
          <t>LA8059: confirm the callsign TAM8059 (LATAM Brasil) on the first live day.</t>
        </is>
      </c>
      <c r="C11" s="2" t="inlineStr">
        <is>
          <t>Live tracking</t>
        </is>
      </c>
      <c r="D11" s="2" t="inlineStr">
        <is>
          <t>CALLSIGN = TAM8059 on the row, LAN8059 also tried</t>
        </is>
      </c>
    </row>
    <row r="12">
      <c r="A12" s="2" t="n">
        <v>11</v>
      </c>
      <c r="B12" s="2" t="inlineStr">
        <is>
          <t>DAYSTOP_MARGIN_MIN = 60 is a proposed value: what margin before Truck is acceptable when a day stop aircraft lands late?</t>
        </is>
      </c>
      <c r="C12" s="2" t="inlineStr">
        <is>
          <t>Day stop alert</t>
        </is>
      </c>
      <c r="D12" s="2" t="inlineStr">
        <is>
          <t>60 min</t>
        </is>
      </c>
    </row>
    <row r="13">
      <c r="A13" s="2" t="n">
        <v>12</v>
      </c>
      <c r="B13" s="2" t="inlineStr">
        <is>
          <t>Cancellations: only ACTIVE = CANCELLED (manual) or the demo cancel a flight. Should the schedule API status Canceled also cancel it automatically?</t>
        </is>
      </c>
      <c r="C13" s="2" t="inlineStr">
        <is>
          <t>Automation</t>
        </is>
      </c>
      <c r="D13" s="2" t="inlineStr">
        <is>
          <t>Not automatic yet</t>
        </is>
      </c>
    </row>
    <row r="14">
      <c r="A14" s="2" t="n">
        <v>13</v>
      </c>
      <c r="B14" s="2" t="inlineStr">
        <is>
          <t>Box Time overrides differ from the rule for LH579 (+25), CX748 (-35), EK762 (-25), HM060 (+10), UR711 SI 16 (+10).</t>
        </is>
      </c>
      <c r="C14" s="2" t="inlineStr">
        <is>
          <t>Which one is right?</t>
        </is>
      </c>
      <c r="D14" s="2" t="inlineStr">
        <is>
          <t>Override kept (BoxTime tab wins)</t>
        </is>
      </c>
    </row>
    <row r="15">
      <c r="A15" s="2" t="n">
        <v>14</v>
      </c>
      <c r="B15" s="2" t="inlineStr">
        <is>
          <t>Feuille 2 stats (manual) differ slightly from the counts computed by the app (HM062 SI 10 now inactive, Days = 0 rows excluded).</t>
        </is>
      </c>
      <c r="C15" s="2" t="inlineStr">
        <is>
          <t>Statistics</t>
        </is>
      </c>
      <c r="D15" s="2" t="inlineStr">
        <is>
          <t>App counts used (Config &gt; Flights per day)</t>
        </is>
      </c>
    </row>
    <row r="16">
      <c r="A16" s="2" t="n">
        <v>15</v>
      </c>
      <c r="B16" s="2" t="inlineStr">
        <is>
          <t>A Truck before midnight for a flight landing just after midnight is shown at the end of the operating day, not on the previous day.</t>
        </is>
      </c>
      <c r="C16" s="2" t="inlineStr">
        <is>
          <t>Edge case after midnight</t>
        </is>
      </c>
      <c r="D16" s="2" t="inlineStr">
        <is>
          <t>No such flight in JNB 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2026-10-13T12:56:13Z</dcterms:created>
  <dcterms:modified xsi:type="dcterms:W3CDTF">2026-10-13T12:56:14Z</dcterms:modified>
</cp:coreProperties>
</file>